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porting" sheetId="2" state="visible" r:id="rId4"/>
    <sheet name="Schema_Fields" sheetId="3" state="visible" r:id="rId5"/>
    <sheet name="Enumerations" sheetId="4" state="visible" r:id="rId6"/>
    <sheet name="Provider_Mapping" sheetId="5" state="visible" r:id="rId7"/>
    <sheet name="Cost_Driver_Lever_Map" sheetId="6" state="visible" r:id="rId8"/>
    <sheet name="Normalized_Data" sheetId="7" state="visible" r:id="rId9"/>
  </sheets>
  <definedNames>
    <definedName function="false" hidden="true" localSheetId="5" name="_xlnm._FilterDatabase" vbProcedure="false">Cost_Driver_Lever_Map!$A$3:$G$23</definedName>
    <definedName function="false" hidden="true" localSheetId="3" name="_xlnm._FilterDatabase" vbProcedure="false">Enumerations!$A$3:$C$113</definedName>
    <definedName function="false" hidden="true" localSheetId="6" name="_xlnm._FilterDatabase" vbProcedure="false">Normalized_Data!$A$1:$V$30</definedName>
    <definedName function="false" hidden="true" localSheetId="4" name="_xlnm._FilterDatabase" vbProcedure="false">Provider_Mapping!$A$3:$K$103</definedName>
    <definedName function="false" hidden="true" localSheetId="2" name="_xlnm._FilterDatabase" vbProcedure="false">Schema_Fields!$A$3:$G$34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<sst xmlns="http://schemas.openxmlformats.org/spreadsheetml/2006/main" count="2497" uniqueCount="905">
  <si>
    <t xml:space="preserve">AI Cost Allocation Schema &amp; Mapping Workbook</t>
  </si>
  <si>
    <t xml:space="preserve">Purpose</t>
  </si>
  <si>
    <t xml:space="preserve">Operational data dictionary + provider mapping for an AI cost ingestion-and-normalization layer. Use it as the lookup table that any billing source (cloud CUR/FOCUS export, SaaS invoice, API usage dump, labor allocation) normalizes against.</t>
  </si>
  <si>
    <t xml:space="preserve">How to use</t>
  </si>
  <si>
    <t xml:space="preserve">1) Normalize every cost line to the fields in 'Schema_Fields'.  2) Validate enum fields against 'Enumerations'.  3) Map each provider's native SKU to ServiceName -&gt; CostDomain -&gt; PricingUnit using 'Provider_Mapping'.  4) Drive optimization from 'Cost_Driver_Lever_Map'.</t>
  </si>
  <si>
    <t xml:space="preserve">Four axes</t>
  </si>
  <si>
    <t xml:space="preserve">The schema separates axes a flat list collapses: DeploymentModel (where it runs), ModelChannel (how the model is accessed), CostDomain (what you pay for), and WorkloadLifecycle (which stage). Slice spend on any of them.</t>
  </si>
  <si>
    <t xml:space="preserve">FOCUS</t>
  </si>
  <si>
    <t xml:space="preserve">Identity/pricing/commitment fields align to FOCUS columns. AI-native extensions (token types, cache asymmetry, ModelChannel/Tier, amplification, idle-GPU/endpoint waste) are flagged in Schema_Fields as not-yet-in-FOCUS.</t>
  </si>
  <si>
    <t xml:space="preserve">Pricing note</t>
  </si>
  <si>
    <t xml:space="preserve">Dollar figures in 'Cost watch-out' notes are directional context as of mid-2026 and move frequently. Treat the STRUCTURE (pricing unit, commitment type, waste pattern) as the durable part; verify rates at the provider before budgeting.</t>
  </si>
  <si>
    <t xml:space="preserve">Scope of mapping</t>
  </si>
  <si>
    <t xml:space="preserve">Three hyperscalers (AWS, Azure, GCP), the most common direct lab APIs (OpenAI, Anthropic, Google Gemini API), two neoclouds (CoreWeave, Lambda), and two vector-DB SaaS (Pinecone, Weaviate).</t>
  </si>
  <si>
    <t xml:space="preserve">Tabs</t>
  </si>
  <si>
    <t xml:space="preserve">Schema_Fields</t>
  </si>
  <si>
    <t xml:space="preserve">The normalized cost record: every field, its group, type, allowed-value reference, and FOCUS alignment.</t>
  </si>
  <si>
    <t xml:space="preserve">Enumerations</t>
  </si>
  <si>
    <t xml:space="preserve">Allowed values for each controlled (enum) field - use for dropdown / ingestion validation.</t>
  </si>
  <si>
    <t xml:space="preserve">Provider_Mapping</t>
  </si>
  <si>
    <t xml:space="preserve">Native services/SKUs per provider mapped to CostDomain, PricingUnit, channel, commitment eligibility, lifecycle, and the cost watch-out.</t>
  </si>
  <si>
    <t xml:space="preserve">Cost_Driver_Lever_Map</t>
  </si>
  <si>
    <t xml:space="preserve">Each major cost driver paired with the lever(s) that reduce it, the mechanism, typical impact, and the trade-off.</t>
  </si>
  <si>
    <t xml:space="preserve">Reporting - AI Spend Summary</t>
  </si>
  <si>
    <t xml:space="preserve">Live formulas over Normalized_Data (rows 2-1000). Paste more normalized rows and recalc to refresh.</t>
  </si>
  <si>
    <t xml:space="preserve">Total AI spend (period)</t>
  </si>
  <si>
    <t xml:space="preserve">Spend by CostDomain</t>
  </si>
  <si>
    <t xml:space="preserve">CostDomain</t>
  </si>
  <si>
    <t xml:space="preserve">Spend</t>
  </si>
  <si>
    <t xml:space="preserve">% of total</t>
  </si>
  <si>
    <t xml:space="preserve">inference</t>
  </si>
  <si>
    <t xml:space="preserve">training</t>
  </si>
  <si>
    <t xml:space="preserve">compute-infra</t>
  </si>
  <si>
    <t xml:space="preserve">storage</t>
  </si>
  <si>
    <t xml:space="preserve">networking</t>
  </si>
  <si>
    <t xml:space="preserve">retrieval-RAG</t>
  </si>
  <si>
    <t xml:space="preserve">orchestration-agents</t>
  </si>
  <si>
    <t xml:space="preserve">data-prep</t>
  </si>
  <si>
    <t xml:space="preserve">evaluation</t>
  </si>
  <si>
    <t xml:space="preserve">guardrails-safety</t>
  </si>
  <si>
    <t xml:space="preserve">observability</t>
  </si>
  <si>
    <t xml:space="preserve">licensing-subscription</t>
  </si>
  <si>
    <t xml:space="preserve">security-compliance</t>
  </si>
  <si>
    <t xml:space="preserve">human-capital</t>
  </si>
  <si>
    <t xml:space="preserve">professional-services</t>
  </si>
  <si>
    <t xml:space="preserve">facilities-hardware</t>
  </si>
  <si>
    <t xml:space="preserve">indirect-overhead</t>
  </si>
  <si>
    <t xml:space="preserve">Spend by DeploymentModel</t>
  </si>
  <si>
    <t xml:space="preserve">DeploymentModel</t>
  </si>
  <si>
    <t xml:space="preserve">managed-API</t>
  </si>
  <si>
    <t xml:space="preserve">hyperscaler-platform</t>
  </si>
  <si>
    <t xml:space="preserve">self-hosted-cloud-GPU</t>
  </si>
  <si>
    <t xml:space="preserve">neocloud</t>
  </si>
  <si>
    <t xml:space="preserve">private-cloud-on-prem</t>
  </si>
  <si>
    <t xml:space="preserve">colocation</t>
  </si>
  <si>
    <t xml:space="preserve">edge</t>
  </si>
  <si>
    <t xml:space="preserve">SaaS-embedded</t>
  </si>
  <si>
    <t xml:space="preserve">Spend by WorkloadLifecycle</t>
  </si>
  <si>
    <t xml:space="preserve">WorkloadLifecycle</t>
  </si>
  <si>
    <t xml:space="preserve">experimentation</t>
  </si>
  <si>
    <t xml:space="preserve">fine-tuning</t>
  </si>
  <si>
    <t xml:space="preserve">batch-inference</t>
  </si>
  <si>
    <t xml:space="preserve">real-time-inference</t>
  </si>
  <si>
    <t xml:space="preserve">serving-idle</t>
  </si>
  <si>
    <t xml:space="preserve">Spend by Provider</t>
  </si>
  <si>
    <t xml:space="preserve">Provider</t>
  </si>
  <si>
    <t xml:space="preserve">AWS</t>
  </si>
  <si>
    <t xml:space="preserve">OpenAI</t>
  </si>
  <si>
    <t xml:space="preserve">Anthropic</t>
  </si>
  <si>
    <t xml:space="preserve">CoreWeave</t>
  </si>
  <si>
    <t xml:space="preserve">Pinecone</t>
  </si>
  <si>
    <t xml:space="preserve">GitHub</t>
  </si>
  <si>
    <t xml:space="preserve">Acme AI</t>
  </si>
  <si>
    <t xml:space="preserve">Pivot: CostDomain (rows) x DeploymentModel (cols)</t>
  </si>
  <si>
    <t xml:space="preserve">CostDomain \ Deploy</t>
  </si>
  <si>
    <t xml:space="preserve">Total</t>
  </si>
  <si>
    <t xml:space="preserve">Commitment Coverage</t>
  </si>
  <si>
    <t xml:space="preserve">Total spend</t>
  </si>
  <si>
    <t xml:space="preserve">On-commitment spend (committed)</t>
  </si>
  <si>
    <t xml:space="preserve">  of which actively used</t>
  </si>
  <si>
    <t xml:space="preserve">  of which UNUSED (waste)</t>
  </si>
  <si>
    <t xml:space="preserve">Coverage-eligible on-demand (opportunity)</t>
  </si>
  <si>
    <t xml:space="preserve">Effective coverage rate (used / used+opportunity)</t>
  </si>
  <si>
    <t xml:space="preserve">Waste &amp; Governance</t>
  </si>
  <si>
    <t xml:space="preserve">Flag</t>
  </si>
  <si>
    <t xml:space="preserve">idle-GPU</t>
  </si>
  <si>
    <t xml:space="preserve">idle-endpoint</t>
  </si>
  <si>
    <t xml:space="preserve">unused-commitment</t>
  </si>
  <si>
    <t xml:space="preserve">failed-run</t>
  </si>
  <si>
    <t xml:space="preserve">retry-amplification</t>
  </si>
  <si>
    <t xml:space="preserve">orphaned-POC</t>
  </si>
  <si>
    <t xml:space="preserve">over-provisioned</t>
  </si>
  <si>
    <t xml:space="preserve">Total flagged waste</t>
  </si>
  <si>
    <t xml:space="preserve">Shadow-AI spend</t>
  </si>
  <si>
    <t xml:space="preserve">Schema Fields - Normalized AI Cost Record</t>
  </si>
  <si>
    <t xml:space="preserve">Field</t>
  </si>
  <si>
    <t xml:space="preserve">Group</t>
  </si>
  <si>
    <t xml:space="preserve">Type</t>
  </si>
  <si>
    <t xml:space="preserve">Required</t>
  </si>
  <si>
    <t xml:space="preserve">Allowed Values / Reference</t>
  </si>
  <si>
    <t xml:space="preserve">FOCUS Alignment</t>
  </si>
  <si>
    <t xml:space="preserve">Notes</t>
  </si>
  <si>
    <t xml:space="preserve">ProviderName</t>
  </si>
  <si>
    <t xml:space="preserve">Identity</t>
  </si>
  <si>
    <t xml:space="preserve">enum</t>
  </si>
  <si>
    <t xml:space="preserve">Y</t>
  </si>
  <si>
    <t xml:space="preserve">BillingAccount context / ProviderName</t>
  </si>
  <si>
    <t xml:space="preserve">Who you pay: AWS, Azure, GCP, OpenAI, Anthropic, CoreWeave, Pinecone, internal, etc.</t>
  </si>
  <si>
    <t xml:space="preserve">BillingSourceId</t>
  </si>
  <si>
    <t xml:space="preserve">string</t>
  </si>
  <si>
    <t xml:space="preserve">-</t>
  </si>
  <si>
    <t xml:space="preserve">SubAccountId / BillingAccountId</t>
  </si>
  <si>
    <t xml:space="preserve">Account / subscription / project / invoice identifier.</t>
  </si>
  <si>
    <t xml:space="preserve">ServiceName</t>
  </si>
  <si>
    <t xml:space="preserve">Provider's native service (e.g. Amazon Bedrock, Vertex Agent Engine).</t>
  </si>
  <si>
    <t xml:space="preserve">ChargeDescription</t>
  </si>
  <si>
    <t xml:space="preserve">N</t>
  </si>
  <si>
    <t xml:space="preserve">ChargeDescription / SkuId</t>
  </si>
  <si>
    <t xml:space="preserve">Native line-item / SKU string.</t>
  </si>
  <si>
    <t xml:space="preserve">ChargeCategory</t>
  </si>
  <si>
    <t xml:space="preserve">Usage, Purchase, Tax, Credit, Adjustment, Refund.</t>
  </si>
  <si>
    <t xml:space="preserve">Sourcing</t>
  </si>
  <si>
    <t xml:space="preserve">extension</t>
  </si>
  <si>
    <t xml:space="preserve">WHERE it runs. Covers cloud, SaaS, neocloud, colo, API, self-hosted GPU, edge.</t>
  </si>
  <si>
    <t xml:space="preserve">ModelChannel</t>
  </si>
  <si>
    <t xml:space="preserve">extension (AI-native)</t>
  </si>
  <si>
    <t xml:space="preserve">HOW the model is accessed. Same model can bill via several channels.</t>
  </si>
  <si>
    <t xml:space="preserve">ModelProvider</t>
  </si>
  <si>
    <t xml:space="preserve">Who built the model (Anthropic, OpenAI, Google, Meta, Mistral...).</t>
  </si>
  <si>
    <t xml:space="preserve">ModelTier</t>
  </si>
  <si>
    <t xml:space="preserve">Capability/cost class: frontier, mid, small, embedding, image, etc.</t>
  </si>
  <si>
    <t xml:space="preserve">ModelName</t>
  </si>
  <si>
    <t xml:space="preserve">Exact model SKU - for cross-channel reconciliation.</t>
  </si>
  <si>
    <t xml:space="preserve">ModelVersion</t>
  </si>
  <si>
    <t xml:space="preserve">Version - drives re-eval cost tracking on model updates.</t>
  </si>
  <si>
    <t xml:space="preserve">Domain</t>
  </si>
  <si>
    <t xml:space="preserve">ServiceCategory (approx.)</t>
  </si>
  <si>
    <t xml:space="preserve">The 17 master domains: inference, training, retrieval-RAG, etc.</t>
  </si>
  <si>
    <t xml:space="preserve">Lifecycle</t>
  </si>
  <si>
    <t xml:space="preserve">4th axis: experimentation, training, fine-tuning, batch-inference, real-time-inference, evaluation, data-prep, serving-idle. Makes unit economics by stage reportable.</t>
  </si>
  <si>
    <t xml:space="preserve">PricingUnit</t>
  </si>
  <si>
    <t xml:space="preserve">Pricing</t>
  </si>
  <si>
    <t xml:space="preserve">Metering unit (per-input-token, per-GPU-hour, per-RU, per-seat...).</t>
  </si>
  <si>
    <t xml:space="preserve">PricingModel</t>
  </si>
  <si>
    <t xml:space="preserve">PricingCategory</t>
  </si>
  <si>
    <t xml:space="preserve">on-demand, batch, provisioned, priority-tier, spot, committed, subscription.</t>
  </si>
  <si>
    <t xml:space="preserve">CommitmentDiscountType</t>
  </si>
  <si>
    <t xml:space="preserve">Commitment</t>
  </si>
  <si>
    <t xml:space="preserve">savings-plan, reserved, PTU, CUD, MACC, enterprise-agreement, none.</t>
  </si>
  <si>
    <t xml:space="preserve">CommitmentDiscountStatus</t>
  </si>
  <si>
    <t xml:space="preserve">used / unused. Unused = first-class waste signal.</t>
  </si>
  <si>
    <t xml:space="preserve">CommitmentEligible</t>
  </si>
  <si>
    <t xml:space="preserve">bool</t>
  </si>
  <si>
    <t xml:space="preserve">TRUE / FALSE</t>
  </si>
  <si>
    <t xml:space="preserve">Whether the charge can draw down a commitment (marketplace charges often FALSE).</t>
  </si>
  <si>
    <t xml:space="preserve">DirectVsAllocated</t>
  </si>
  <si>
    <t xml:space="preserve">Allocation</t>
  </si>
  <si>
    <t xml:space="preserve">direct / allocated-shared.</t>
  </si>
  <si>
    <t xml:space="preserve">FixedVsVariable</t>
  </si>
  <si>
    <t xml:space="preserve">fixed / variable.</t>
  </si>
  <si>
    <t xml:space="preserve">CapexVsOpex</t>
  </si>
  <si>
    <t xml:space="preserve">capex / opex.</t>
  </si>
  <si>
    <t xml:space="preserve">Environment</t>
  </si>
  <si>
    <t xml:space="preserve">prod, non-prod, dev, test, sandbox.</t>
  </si>
  <si>
    <t xml:space="preserve">BusinessUnit</t>
  </si>
  <si>
    <t xml:space="preserve">tags</t>
  </si>
  <si>
    <t xml:space="preserve">Showback/chargeback dimension.</t>
  </si>
  <si>
    <t xml:space="preserve">Product</t>
  </si>
  <si>
    <t xml:space="preserve">Product the spend supports.</t>
  </si>
  <si>
    <t xml:space="preserve">Team</t>
  </si>
  <si>
    <t xml:space="preserve">Owning team.</t>
  </si>
  <si>
    <t xml:space="preserve">Application</t>
  </si>
  <si>
    <t xml:space="preserve">Application / workload.</t>
  </si>
  <si>
    <t xml:space="preserve">UseCase</t>
  </si>
  <si>
    <t xml:space="preserve">Use-case (for cost-per-use-case unit economics).</t>
  </si>
  <si>
    <t xml:space="preserve">CostCenter</t>
  </si>
  <si>
    <t xml:space="preserve">GL mapping.</t>
  </si>
  <si>
    <t xml:space="preserve">GovernanceStatus</t>
  </si>
  <si>
    <t xml:space="preserve">Governance</t>
  </si>
  <si>
    <t xml:space="preserve">governed / shadow-AI.</t>
  </si>
  <si>
    <t xml:space="preserve">WasteFlag</t>
  </si>
  <si>
    <t xml:space="preserve">idle-GPU, idle-endpoint, unused-commitment, failed-run, retry-amplification, orphaned-POC, over-provisioned, none.</t>
  </si>
  <si>
    <t xml:space="preserve">AmplificationFactor</t>
  </si>
  <si>
    <t xml:space="preserve">number</t>
  </si>
  <si>
    <t xml:space="preserve">Model calls per user request - agentic fan-out tracking.</t>
  </si>
  <si>
    <t xml:space="preserve">Enumerations - Allowed Values for Controlled Fields</t>
  </si>
  <si>
    <t xml:space="preserve">Allowed Value</t>
  </si>
  <si>
    <t xml:space="preserve">Definition</t>
  </si>
  <si>
    <t xml:space="preserve">Usage</t>
  </si>
  <si>
    <t xml:space="preserve">Metered consumption of a service.</t>
  </si>
  <si>
    <t xml:space="preserve">Purchase</t>
  </si>
  <si>
    <t xml:space="preserve">Upfront / commitment purchase (reservation, prepaid credit).</t>
  </si>
  <si>
    <t xml:space="preserve">Tax</t>
  </si>
  <si>
    <t xml:space="preserve">Tax line.</t>
  </si>
  <si>
    <t xml:space="preserve">Credit</t>
  </si>
  <si>
    <t xml:space="preserve">Discount, promo, or refundable credit.</t>
  </si>
  <si>
    <t xml:space="preserve">Adjustment</t>
  </si>
  <si>
    <t xml:space="preserve">Billing adjustment / true-up.</t>
  </si>
  <si>
    <t xml:space="preserve">Refund</t>
  </si>
  <si>
    <t xml:space="preserve">Refunded amount.</t>
  </si>
  <si>
    <t xml:space="preserve">Pure token/unit consumption of a hosted model API; no infra ownership.</t>
  </si>
  <si>
    <t xml:space="preserve">AI service consumed on AWS/Azure/GCP (Bedrock/Foundry/Vertex).</t>
  </si>
  <si>
    <t xml:space="preserve">Your stack on rented cloud GPUs (EC2/AKS/GKE).</t>
  </si>
  <si>
    <t xml:space="preserve">Specialized GPU cloud (CoreWeave, Lambda, etc.).</t>
  </si>
  <si>
    <t xml:space="preserve">Owned infrastructure; adds facilities/depreciation.</t>
  </si>
  <si>
    <t xml:space="preserve">Leased rack/power/cooling with owned or leased hardware.</t>
  </si>
  <si>
    <t xml:space="preserve">On-device / edge inference.</t>
  </si>
  <si>
    <t xml:space="preserve">AI add-ons, per-seat assistants, embedded credits in SaaS tools.</t>
  </si>
  <si>
    <t xml:space="preserve">direct-lab-API</t>
  </si>
  <si>
    <t xml:space="preserve">Accessed via the model lab's own API (OpenAI, Anthropic, Gemini API).</t>
  </si>
  <si>
    <t xml:space="preserve">hyperscaler-marketplace</t>
  </si>
  <si>
    <t xml:space="preserve">Same model via Bedrock / Foundry / Vertex Model Garden.</t>
  </si>
  <si>
    <t xml:space="preserve">self-hosted-weights</t>
  </si>
  <si>
    <t xml:space="preserve">Open weights you run yourself.</t>
  </si>
  <si>
    <t xml:space="preserve">fine-tuned-hosted</t>
  </si>
  <si>
    <t xml:space="preserve">Custom fine-tune hosted by provider.</t>
  </si>
  <si>
    <t xml:space="preserve">open-weight</t>
  </si>
  <si>
    <t xml:space="preserve">Open-weight model (Llama, Gemma, Mistral OSS).</t>
  </si>
  <si>
    <t xml:space="preserve">frontier</t>
  </si>
  <si>
    <t xml:space="preserve">Largest cutting-edge models (Opus, GPT-5.x flagship, Gemini Pro).</t>
  </si>
  <si>
    <t xml:space="preserve">mid</t>
  </si>
  <si>
    <t xml:space="preserve">Balanced mid-tier (Sonnet, GPT mini, Gemini Flash).</t>
  </si>
  <si>
    <t xml:space="preserve">small-efficient</t>
  </si>
  <si>
    <t xml:space="preserve">Smallest/cheapest (Haiku, Nano, Flash-Lite).</t>
  </si>
  <si>
    <t xml:space="preserve">Open-weight family.</t>
  </si>
  <si>
    <t xml:space="preserve">embedding</t>
  </si>
  <si>
    <t xml:space="preserve">Embedding models.</t>
  </si>
  <si>
    <t xml:space="preserve">rerank</t>
  </si>
  <si>
    <t xml:space="preserve">Rerank models.</t>
  </si>
  <si>
    <t xml:space="preserve">image</t>
  </si>
  <si>
    <t xml:space="preserve">Image generation/vision.</t>
  </si>
  <si>
    <t xml:space="preserve">audio</t>
  </si>
  <si>
    <t xml:space="preserve">Speech-to-text / text-to-speech.</t>
  </si>
  <si>
    <t xml:space="preserve">video</t>
  </si>
  <si>
    <t xml:space="preserve">Video generation.</t>
  </si>
  <si>
    <t xml:space="preserve">specialized</t>
  </si>
  <si>
    <t xml:space="preserve">Domain/task-specific (code, etc.).</t>
  </si>
  <si>
    <t xml:space="preserve">Model serving / token &amp; unit consumption.</t>
  </si>
  <si>
    <t xml:space="preserve">Pre-train, fine-tune, continued pre-train, RLHF.</t>
  </si>
  <si>
    <t xml:space="preserve">GPU/CPU instances, orchestration, idle capacity.</t>
  </si>
  <si>
    <t xml:space="preserve">Weights, checkpoints, datasets, vectors, logs at rest.</t>
  </si>
  <si>
    <t xml:space="preserve">Egress, cross-AZ/region, interconnect, gateways.</t>
  </si>
  <si>
    <t xml:space="preserve">Vector store, knowledge bases, search, grounding.</t>
  </si>
  <si>
    <t xml:space="preserve">Agent runtimes, gateways, memory, workflow, caching.</t>
  </si>
  <si>
    <t xml:space="preserve">Ingestion, chunking, labeling, synthetic data, cleaning.</t>
  </si>
  <si>
    <t xml:space="preserve">Eval compute, LLM-as-judge, human eval, red-team.</t>
  </si>
  <si>
    <t xml:space="preserve">Moderation, PII redaction, content filtering.</t>
  </si>
  <si>
    <t xml:space="preserve">LLM observability, tracing, logging, cost tooling.</t>
  </si>
  <si>
    <t xml:space="preserve">Per-seat assistants, embedded AI add-ons, credits.</t>
  </si>
  <si>
    <t xml:space="preserve">Audit logging, KMS, DLP, certifications.</t>
  </si>
  <si>
    <t xml:space="preserve">Engineers, labelers, governance staff (allocated labor).</t>
  </si>
  <si>
    <t xml:space="preserve">Consulting, SI, premium support, MSP.</t>
  </si>
  <si>
    <t xml:space="preserve">Power, cooling, colo, depreciation (owned/colo).</t>
  </si>
  <si>
    <t xml:space="preserve">Shadow AI, POC waste, FX, carbon, markup.</t>
  </si>
  <si>
    <t xml:space="preserve">Notebooks, prototyping, prompt iteration.</t>
  </si>
  <si>
    <t xml:space="preserve">Full/continued pre-training runs.</t>
  </si>
  <si>
    <t xml:space="preserve">Customization runs + custom-model hosting.</t>
  </si>
  <si>
    <t xml:space="preserve">Async / offline bulk inference.</t>
  </si>
  <si>
    <t xml:space="preserve">Online, user-facing serving.</t>
  </si>
  <si>
    <t xml:space="preserve">Benchmarking, regression, LLM-as-judge.</t>
  </si>
  <si>
    <t xml:space="preserve">Embedding, ingestion, labeling pipelines.</t>
  </si>
  <si>
    <t xml:space="preserve">Provisioned-but-unused serving capacity (waste lens).</t>
  </si>
  <si>
    <t xml:space="preserve">per-input-token</t>
  </si>
  <si>
    <t xml:space="preserve">Input tokens.</t>
  </si>
  <si>
    <t xml:space="preserve">per-output-token</t>
  </si>
  <si>
    <t xml:space="preserve">Output tokens (includes reasoning/thinking tokens).</t>
  </si>
  <si>
    <t xml:space="preserve">per-cached-read-token</t>
  </si>
  <si>
    <t xml:space="preserve">Cache-hit reads (discounted).</t>
  </si>
  <si>
    <t xml:space="preserve">per-cache-write-token</t>
  </si>
  <si>
    <t xml:space="preserve">Cache writes (surcharge; 5-min vs 1-hour differ).</t>
  </si>
  <si>
    <t xml:space="preserve">per-request</t>
  </si>
  <si>
    <t xml:space="preserve">Flat per-call.</t>
  </si>
  <si>
    <t xml:space="preserve">per-image / per-sec / per-char</t>
  </si>
  <si>
    <t xml:space="preserve">Multimodal units (image, audio/video second, character).</t>
  </si>
  <si>
    <t xml:space="preserve">per-instance-hour</t>
  </si>
  <si>
    <t xml:space="preserve">Compute instance by time.</t>
  </si>
  <si>
    <t xml:space="preserve">per-GPU-hour</t>
  </si>
  <si>
    <t xml:space="preserve">Per-accelerator by time (neocloud norm).</t>
  </si>
  <si>
    <t xml:space="preserve">per-node-hour</t>
  </si>
  <si>
    <t xml:space="preserve">Per training/serving node.</t>
  </si>
  <si>
    <t xml:space="preserve">per-throughput-unit</t>
  </si>
  <si>
    <t xml:space="preserve">Provisioned/reserved capacity (PTU, model unit).</t>
  </si>
  <si>
    <t xml:space="preserve">per-seat</t>
  </si>
  <si>
    <t xml:space="preserve">Named/active user.</t>
  </si>
  <si>
    <t xml:space="preserve">per-GB-month</t>
  </si>
  <si>
    <t xml:space="preserve">Storage.</t>
  </si>
  <si>
    <t xml:space="preserve">per-GB-transfer</t>
  </si>
  <si>
    <t xml:space="preserve">Data transfer / egress.</t>
  </si>
  <si>
    <t xml:space="preserve">per-query / per-RU / per-WU / per-AU</t>
  </si>
  <si>
    <t xml:space="preserve">Retrieval units (read/write/activity).</t>
  </si>
  <si>
    <t xml:space="preserve">credit</t>
  </si>
  <si>
    <t xml:space="preserve">Prepaid consumption credit.</t>
  </si>
  <si>
    <t xml:space="preserve">flat</t>
  </si>
  <si>
    <t xml:space="preserve">Fixed recurring.</t>
  </si>
  <si>
    <t xml:space="preserve">per-token</t>
  </si>
  <si>
    <t xml:space="preserve">Blended per-token (line aggregates input+output tokens).</t>
  </si>
  <si>
    <t xml:space="preserve">on-demand</t>
  </si>
  <si>
    <t xml:space="preserve">Pay-as-you-go baseline.</t>
  </si>
  <si>
    <t xml:space="preserve">batch</t>
  </si>
  <si>
    <t xml:space="preserve">Async discounted tier (typ. -50%).</t>
  </si>
  <si>
    <t xml:space="preserve">provisioned-throughput</t>
  </si>
  <si>
    <t xml:space="preserve">Reserved capacity (PTU / model unit) by time.</t>
  </si>
  <si>
    <t xml:space="preserve">priority-tier</t>
  </si>
  <si>
    <t xml:space="preserve">Premium for latency/priority (e.g. +75% / 2x).</t>
  </si>
  <si>
    <t xml:space="preserve">flex-tier</t>
  </si>
  <si>
    <t xml:space="preserve">Lower-cost, variable-latency tier.</t>
  </si>
  <si>
    <t xml:space="preserve">spot</t>
  </si>
  <si>
    <t xml:space="preserve">Preemptible (deep discount).</t>
  </si>
  <si>
    <t xml:space="preserve">committed-savings-plan</t>
  </si>
  <si>
    <t xml:space="preserve">Reserved/Savings Plan/CUD committed spend or term.</t>
  </si>
  <si>
    <t xml:space="preserve">subscription</t>
  </si>
  <si>
    <t xml:space="preserve">Per-seat / flat recurring.</t>
  </si>
  <si>
    <t xml:space="preserve">credit-consumption</t>
  </si>
  <si>
    <t xml:space="preserve">Draw-down of prepaid credits.</t>
  </si>
  <si>
    <t xml:space="preserve">savings-plan</t>
  </si>
  <si>
    <t xml:space="preserve">AWS Savings Plan.</t>
  </si>
  <si>
    <t xml:space="preserve">reserved-instance</t>
  </si>
  <si>
    <t xml:space="preserve">Reserved instance/capacity.</t>
  </si>
  <si>
    <t xml:space="preserve">provisioned-throughput-unit</t>
  </si>
  <si>
    <t xml:space="preserve">Azure/Bedrock PTU / model unit.</t>
  </si>
  <si>
    <t xml:space="preserve">committed-use-discount</t>
  </si>
  <si>
    <t xml:space="preserve">GCP CUD.</t>
  </si>
  <si>
    <t xml:space="preserve">MACC-drawdown</t>
  </si>
  <si>
    <t xml:space="preserve">Microsoft Azure Consumption Commitment.</t>
  </si>
  <si>
    <t xml:space="preserve">enterprise-agreement</t>
  </si>
  <si>
    <t xml:space="preserve">Negotiated EA / volume deal.</t>
  </si>
  <si>
    <t xml:space="preserve">none</t>
  </si>
  <si>
    <t xml:space="preserve">No commitment.</t>
  </si>
  <si>
    <t xml:space="preserve">used</t>
  </si>
  <si>
    <t xml:space="preserve">Commitment consumed.</t>
  </si>
  <si>
    <t xml:space="preserve">unused</t>
  </si>
  <si>
    <t xml:space="preserve">Committed but not consumed (waste).</t>
  </si>
  <si>
    <t xml:space="preserve">direct</t>
  </si>
  <si>
    <t xml:space="preserve">Directly attributable.</t>
  </si>
  <si>
    <t xml:space="preserve">allocated-shared</t>
  </si>
  <si>
    <t xml:space="preserve">Split from shared/common cost.</t>
  </si>
  <si>
    <t xml:space="preserve">fixed</t>
  </si>
  <si>
    <t xml:space="preserve">Does not scale with usage.</t>
  </si>
  <si>
    <t xml:space="preserve">variable</t>
  </si>
  <si>
    <t xml:space="preserve">Scales with usage.</t>
  </si>
  <si>
    <t xml:space="preserve">capex</t>
  </si>
  <si>
    <t xml:space="preserve">Capitalized.</t>
  </si>
  <si>
    <t xml:space="preserve">opex</t>
  </si>
  <si>
    <t xml:space="preserve">Operating expense.</t>
  </si>
  <si>
    <t xml:space="preserve">prod</t>
  </si>
  <si>
    <t xml:space="preserve">Production.</t>
  </si>
  <si>
    <t xml:space="preserve">non-prod</t>
  </si>
  <si>
    <t xml:space="preserve">Non-production (umbrella).</t>
  </si>
  <si>
    <t xml:space="preserve">dev</t>
  </si>
  <si>
    <t xml:space="preserve">Development.</t>
  </si>
  <si>
    <t xml:space="preserve">test</t>
  </si>
  <si>
    <t xml:space="preserve">Test/QA.</t>
  </si>
  <si>
    <t xml:space="preserve">sandbox</t>
  </si>
  <si>
    <t xml:space="preserve">Sandbox/experimentation.</t>
  </si>
  <si>
    <t xml:space="preserve">governed</t>
  </si>
  <si>
    <t xml:space="preserve">Sanctioned, tracked spend.</t>
  </si>
  <si>
    <t xml:space="preserve">shadow-AI</t>
  </si>
  <si>
    <t xml:space="preserve">Ungoverned card/tool spend.</t>
  </si>
  <si>
    <t xml:space="preserve">Provisioned-but-unused accelerator hours.</t>
  </si>
  <si>
    <t xml:space="preserve">Zero-traffic serving endpoint (ghost).</t>
  </si>
  <si>
    <t xml:space="preserve">Committed capacity not consumed.</t>
  </si>
  <si>
    <t xml:space="preserve">Crashed/diverged training run.</t>
  </si>
  <si>
    <t xml:space="preserve">Re-billed calls from throttling/timeouts.</t>
  </si>
  <si>
    <t xml:space="preserve">Abandoned pilot resources.</t>
  </si>
  <si>
    <t xml:space="preserve">Right-sizing headroom beyond need.</t>
  </si>
  <si>
    <t xml:space="preserve">No waste flag.</t>
  </si>
  <si>
    <t xml:space="preserve">Provider Mapping - Native Services to Cost Categories</t>
  </si>
  <si>
    <t xml:space="preserve">Provider Type</t>
  </si>
  <si>
    <t xml:space="preserve">Service / SKU</t>
  </si>
  <si>
    <t xml:space="preserve">Commit. Eligible</t>
  </si>
  <si>
    <t xml:space="preserve">Cost watch-out</t>
  </si>
  <si>
    <t xml:space="preserve">Hyperscaler</t>
  </si>
  <si>
    <t xml:space="preserve">Amazon Bedrock</t>
  </si>
  <si>
    <t xml:space="preserve">per input/output token</t>
  </si>
  <si>
    <t xml:space="preserve">on-demand / batch / priority / flex</t>
  </si>
  <si>
    <t xml:space="preserve">marketplace</t>
  </si>
  <si>
    <t xml:space="preserve">via Provisioned Throughput</t>
  </si>
  <si>
    <t xml:space="preserve">batch -50%, priority +75%, flex -50%; Claude bills as CCUs on AWS Marketplace</t>
  </si>
  <si>
    <t xml:space="preserve">Bedrock Provisioned Throughput</t>
  </si>
  <si>
    <t xml:space="preserve">per model-unit-hour</t>
  </si>
  <si>
    <t xml:space="preserve">yes</t>
  </si>
  <si>
    <t xml:space="preserve">reserved capacity bills whether used; term commitment</t>
  </si>
  <si>
    <t xml:space="preserve">Bedrock Knowledge Bases / Managed KB</t>
  </si>
  <si>
    <t xml:space="preserve">per store + retrieve (+ OpenSearch OCU-hr)</t>
  </si>
  <si>
    <t xml:space="preserve">n/a</t>
  </si>
  <si>
    <t xml:space="preserve">no</t>
  </si>
  <si>
    <t xml:space="preserve">spins up OpenSearch Serverless: ~$350/mo min floor at zero traffic</t>
  </si>
  <si>
    <t xml:space="preserve">Bedrock Agents / AgentCore</t>
  </si>
  <si>
    <t xml:space="preserve">per tool-invocation + CloudWatch</t>
  </si>
  <si>
    <t xml:space="preserve">call amplification: one query -&gt; many billed calls</t>
  </si>
  <si>
    <t xml:space="preserve">Bedrock Guardrails</t>
  </si>
  <si>
    <t xml:space="preserve">per policy unit</t>
  </si>
  <si>
    <t xml:space="preserve">per-request; scales with traffic</t>
  </si>
  <si>
    <t xml:space="preserve">Bedrock custom model (fine-tune)</t>
  </si>
  <si>
    <t xml:space="preserve">per training token + model storage/mo</t>
  </si>
  <si>
    <t xml:space="preserve">via PT</t>
  </si>
  <si>
    <t xml:space="preserve">serving a custom text model generally needs Provisioned Throughput</t>
  </si>
  <si>
    <t xml:space="preserve">Bedrock model evaluation</t>
  </si>
  <si>
    <t xml:space="preserve">inference + $0.21/human task</t>
  </si>
  <si>
    <t xml:space="preserve">human-eval charges land on the SageMaker line item</t>
  </si>
  <si>
    <t xml:space="preserve">SageMaker AI - training jobs</t>
  </si>
  <si>
    <t xml:space="preserve">per ml. instance-hour</t>
  </si>
  <si>
    <t xml:space="preserve">on-demand / savings-plan</t>
  </si>
  <si>
    <t xml:space="preserve">ml. instances ~20-40% over raw EC2; p4d.24xlarge ~$37.69/hr</t>
  </si>
  <si>
    <t xml:space="preserve">SageMaker AI - inference endpoints</t>
  </si>
  <si>
    <t xml:space="preserve">per ml. instance-hour or per-request</t>
  </si>
  <si>
    <t xml:space="preserve">on-demand / serverless / SP</t>
  </si>
  <si>
    <t xml:space="preserve">idle endpoints = ghost charges</t>
  </si>
  <si>
    <t xml:space="preserve">SageMaker Studio / notebooks</t>
  </si>
  <si>
    <t xml:space="preserve">per instance-hour</t>
  </si>
  <si>
    <t xml:space="preserve">left-running notebooks accrue</t>
  </si>
  <si>
    <t xml:space="preserve">SageMaker Pipelines/Monitor/Clarify/Feature Store</t>
  </si>
  <si>
    <t xml:space="preserve">per job / instance-hour</t>
  </si>
  <si>
    <t xml:space="preserve">partial</t>
  </si>
  <si>
    <t xml:space="preserve">MLOps sprawl across many sub-services</t>
  </si>
  <si>
    <t xml:space="preserve">SageMaker JumpStart</t>
  </si>
  <si>
    <t xml:space="preserve">per ml. instance-hour (hosts FM)</t>
  </si>
  <si>
    <t xml:space="preserve">billed by running instance, not per-token</t>
  </si>
  <si>
    <t xml:space="preserve">EC2 GPU (P5/P4d/P6e-GB200/G5)</t>
  </si>
  <si>
    <t xml:space="preserve">on-demand / spot / reserved / SP</t>
  </si>
  <si>
    <t xml:space="preserve">training / real-time-inference</t>
  </si>
  <si>
    <t xml:space="preserve">idle GPU is the dominant self-hosted waste</t>
  </si>
  <si>
    <t xml:space="preserve">S3 / EBS / FSx for Lustre</t>
  </si>
  <si>
    <t xml:space="preserve">per GB-month</t>
  </si>
  <si>
    <t xml:space="preserve">on-demand / reserved</t>
  </si>
  <si>
    <t xml:space="preserve">checkpoint &amp; dataset bloat; high-throughput FS for training</t>
  </si>
  <si>
    <t xml:space="preserve">OpenSearch Serverless</t>
  </si>
  <si>
    <t xml:space="preserve">per OCU-hour</t>
  </si>
  <si>
    <t xml:space="preserve">min ~2 OCUs for prod redundancy = standing floor</t>
  </si>
  <si>
    <t xml:space="preserve">Rekognition/Comprehend/Textract/Transcribe/Polly</t>
  </si>
  <si>
    <t xml:space="preserve">per image / char / minute / query</t>
  </si>
  <si>
    <t xml:space="preserve">pre-built AI APIs, per-unit</t>
  </si>
  <si>
    <t xml:space="preserve">Amazon Q (Developer/Business)</t>
  </si>
  <si>
    <t xml:space="preserve">per seat / month</t>
  </si>
  <si>
    <t xml:space="preserve">seat sprawl / shadow-AI vector if ungoverned</t>
  </si>
  <si>
    <t xml:space="preserve">Data transfer / egress / PrivateLink / NAT</t>
  </si>
  <si>
    <t xml:space="preserve">per GB</t>
  </si>
  <si>
    <t xml:space="preserve">cross-AZ/region/internet egress</t>
  </si>
  <si>
    <t xml:space="preserve">CloudWatch</t>
  </si>
  <si>
    <t xml:space="preserve">per GB ingested + storage</t>
  </si>
  <si>
    <t xml:space="preserve">token-level logging volume</t>
  </si>
  <si>
    <t xml:space="preserve">Azure</t>
  </si>
  <si>
    <t xml:space="preserve">Foundry Models</t>
  </si>
  <si>
    <t xml:space="preserve">on-demand / provisioned</t>
  </si>
  <si>
    <t xml:space="preserve">yes (PTU)</t>
  </si>
  <si>
    <t xml:space="preserve">PTUs can flex across multiple models</t>
  </si>
  <si>
    <t xml:space="preserve">Azure OpenAI Service</t>
  </si>
  <si>
    <t xml:space="preserve">per token / image / audio-min</t>
  </si>
  <si>
    <t xml:space="preserve">on-demand / PTU</t>
  </si>
  <si>
    <t xml:space="preserve">Global/Standard/Data Zone (residency premium)/PTU (~$2,448/mo entry)</t>
  </si>
  <si>
    <t xml:space="preserve">Fine-tuned model hosting</t>
  </si>
  <si>
    <t xml:space="preserve">training tokens + hourly hosting</t>
  </si>
  <si>
    <t xml:space="preserve">hosting bills even when idle</t>
  </si>
  <si>
    <t xml:space="preserve">Marketplace models (Llama, etc.)</t>
  </si>
  <si>
    <t xml:space="preserve">per token via Marketplace</t>
  </si>
  <si>
    <t xml:space="preserve">often NO</t>
  </si>
  <si>
    <t xml:space="preserve">may NOT draw down MACC like first-party services - confirm</t>
  </si>
  <si>
    <t xml:space="preserve">Azure AI Search</t>
  </si>
  <si>
    <t xml:space="preserve">per search unit</t>
  </si>
  <si>
    <t xml:space="preserve">reserved / on-demand</t>
  </si>
  <si>
    <t xml:space="preserve">S1 ~$245/mo minimum for production RAG</t>
  </si>
  <si>
    <t xml:space="preserve">Azure AI Content Safety</t>
  </si>
  <si>
    <t xml:space="preserve">per transaction</t>
  </si>
  <si>
    <t xml:space="preserve">per-request moderation</t>
  </si>
  <si>
    <t xml:space="preserve">Foundry Tools (Vision/Language/Speech)</t>
  </si>
  <si>
    <t xml:space="preserve">per transaction / unit</t>
  </si>
  <si>
    <t xml:space="preserve">the former Cognitive Services APIs</t>
  </si>
  <si>
    <t xml:space="preserve">Azure Machine Learning</t>
  </si>
  <si>
    <t xml:space="preserve">per compute-instance-hour</t>
  </si>
  <si>
    <t xml:space="preserve">idle compute &amp; managed endpoints</t>
  </si>
  <si>
    <t xml:space="preserve">AKS (self-hosted inference)</t>
  </si>
  <si>
    <t xml:space="preserve">per node-hour</t>
  </si>
  <si>
    <t xml:space="preserve">on-demand / reserved / spot</t>
  </si>
  <si>
    <t xml:space="preserve">GPU node idle</t>
  </si>
  <si>
    <t xml:space="preserve">Blob Storage / Managed Disks</t>
  </si>
  <si>
    <t xml:space="preserve">checkpoints, datasets, vectors</t>
  </si>
  <si>
    <t xml:space="preserve">VNet / Private Link / ExpressRoute / egress</t>
  </si>
  <si>
    <t xml:space="preserve">per GB / resource</t>
  </si>
  <si>
    <t xml:space="preserve">private-networking premium over direct OpenAI API</t>
  </si>
  <si>
    <t xml:space="preserve">Entra ID / Key Vault (KMS)</t>
  </si>
  <si>
    <t xml:space="preserve">per operation / key</t>
  </si>
  <si>
    <t xml:space="preserve">encryption &amp; auth</t>
  </si>
  <si>
    <t xml:space="preserve">Azure Monitor / App Insights</t>
  </si>
  <si>
    <t xml:space="preserve">per GB ingested + retention</t>
  </si>
  <si>
    <t xml:space="preserve">log volume</t>
  </si>
  <si>
    <t xml:space="preserve">Support plans</t>
  </si>
  <si>
    <t xml:space="preserve">flat / month</t>
  </si>
  <si>
    <t xml:space="preserve">$100-$1,000+/mo; often omitted from token estimates</t>
  </si>
  <si>
    <t xml:space="preserve">M365 / GitHub Copilot</t>
  </si>
  <si>
    <t xml:space="preserve">per seat</t>
  </si>
  <si>
    <t xml:space="preserve">embedded-AI seat sprawl</t>
  </si>
  <si>
    <t xml:space="preserve">GCP</t>
  </si>
  <si>
    <t xml:space="preserve">Gemini + Model Garden</t>
  </si>
  <si>
    <t xml:space="preserve">standard / priority / batch</t>
  </si>
  <si>
    <t xml:space="preserve">yes (CUD)</t>
  </si>
  <si>
    <t xml:space="preserve">priority ~+80%; long-context &gt;200K surcharge; tuned endpoint 1.5x</t>
  </si>
  <si>
    <t xml:space="preserve">Context caching</t>
  </si>
  <si>
    <t xml:space="preserve">cached tokens + storage/M-token-hr</t>
  </si>
  <si>
    <t xml:space="preserve">cache-read discount but pay for cache storage</t>
  </si>
  <si>
    <t xml:space="preserve">Model Optimizer</t>
  </si>
  <si>
    <t xml:space="preserve">$1 SKU unit + dynamic per-token</t>
  </si>
  <si>
    <t xml:space="preserve">auto-routes to cheapest adequate model</t>
  </si>
  <si>
    <t xml:space="preserve">Grounding with Google Search</t>
  </si>
  <si>
    <t xml:space="preserve">per prompt returning web results</t>
  </si>
  <si>
    <t xml:space="preserve">model fees apply separately</t>
  </si>
  <si>
    <t xml:space="preserve">Agent Builder / Agent Engine</t>
  </si>
  <si>
    <t xml:space="preserve">per-second runtime</t>
  </si>
  <si>
    <t xml:space="preserve">idle agents NOT billed (good)</t>
  </si>
  <si>
    <t xml:space="preserve">Sessions / Memory Bank / Skills Registry</t>
  </si>
  <si>
    <t xml:space="preserve">storage $0.30/GiB-mo + R/W ops</t>
  </si>
  <si>
    <t xml:space="preserve">new billable meters phasing in through 2026</t>
  </si>
  <si>
    <t xml:space="preserve">Vertex AI Search</t>
  </si>
  <si>
    <t xml:space="preserve">per query (10K free/mo) + ~$1/GB-mo index</t>
  </si>
  <si>
    <t xml:space="preserve">indexing storage adds up</t>
  </si>
  <si>
    <t xml:space="preserve">Vector Search</t>
  </si>
  <si>
    <t xml:space="preserve">index serving + storage</t>
  </si>
  <si>
    <t xml:space="preserve">endpoint uptime</t>
  </si>
  <si>
    <t xml:space="preserve">Custom Training</t>
  </si>
  <si>
    <t xml:space="preserve">per node-hour (~$20/hr GPU)</t>
  </si>
  <si>
    <t xml:space="preserve">on-demand / CUD</t>
  </si>
  <si>
    <t xml:space="preserve">failed / long runs</t>
  </si>
  <si>
    <t xml:space="preserve">Online / Batch Prediction endpoints</t>
  </si>
  <si>
    <t xml:space="preserve">per endpoint-hour</t>
  </si>
  <si>
    <t xml:space="preserve">real-time-inference / batch-inference</t>
  </si>
  <si>
    <t xml:space="preserve">bills hourly even idle - ghost endpoints</t>
  </si>
  <si>
    <t xml:space="preserve">AutoML</t>
  </si>
  <si>
    <t xml:space="preserve">train + deploy + predict hours</t>
  </si>
  <si>
    <t xml:space="preserve">accrues even with no predictions unless undeployed</t>
  </si>
  <si>
    <t xml:space="preserve">Pipelines/TensorBoard/Feature Store/Monitoring/Explainable AI</t>
  </si>
  <si>
    <t xml:space="preserve">per run / node-hour</t>
  </si>
  <si>
    <t xml:space="preserve">data-prep / evaluation</t>
  </si>
  <si>
    <t xml:space="preserve">$0.03/pipeline run; Explainable AI inflates inference node count</t>
  </si>
  <si>
    <t xml:space="preserve">Colab Enterprise / Workbench</t>
  </si>
  <si>
    <t xml:space="preserve">left-running notebooks</t>
  </si>
  <si>
    <t xml:space="preserve">Cloud TPU / GPU (A3/A4) / GKE</t>
  </si>
  <si>
    <t xml:space="preserve">per accelerator / node-hour</t>
  </si>
  <si>
    <t xml:space="preserve">on-demand / spot / CUD</t>
  </si>
  <si>
    <t xml:space="preserve">idle accelerators</t>
  </si>
  <si>
    <t xml:space="preserve">Cloud Storage / BigQuery / BigQuery ML</t>
  </si>
  <si>
    <t xml:space="preserve">per GB-month / query bytes</t>
  </si>
  <si>
    <t xml:space="preserve">std $0.020/GB-mo, SSD-backed $0.170/GB-mo</t>
  </si>
  <si>
    <t xml:space="preserve">Egress / VPC SC / CMEK</t>
  </si>
  <si>
    <t xml:space="preserve">egress $0.12/GB+ (more to AU/China); no hard spend caps</t>
  </si>
  <si>
    <t xml:space="preserve">Cloud Monitoring / Logging</t>
  </si>
  <si>
    <t xml:space="preserve">Google AI Studio / Gemini API</t>
  </si>
  <si>
    <t xml:space="preserve">per token (free dev tier)</t>
  </si>
  <si>
    <t xml:space="preserve">experimentation / real-time-inference</t>
  </si>
  <si>
    <t xml:space="preserve">separate developer surface from Vertex</t>
  </si>
  <si>
    <t xml:space="preserve">Gemini for Workspace</t>
  </si>
  <si>
    <t xml:space="preserve">bundled into Workspace seats</t>
  </si>
  <si>
    <t xml:space="preserve">Direct lab API</t>
  </si>
  <si>
    <t xml:space="preserve">Text model - input tokens</t>
  </si>
  <si>
    <t xml:space="preserve">per input token</t>
  </si>
  <si>
    <t xml:space="preserve">standard / batch / flex / priority</t>
  </si>
  <si>
    <t xml:space="preserve">long-context premium &gt;~272K input (2x in / 1.5x out) for full session</t>
  </si>
  <si>
    <t xml:space="preserve">Text model - output (incl. reasoning)</t>
  </si>
  <si>
    <t xml:space="preserve">per output token</t>
  </si>
  <si>
    <t xml:space="preserve">reasoning/thinking tokens billed as output even if hidden</t>
  </si>
  <si>
    <t xml:space="preserve">Cached input</t>
  </si>
  <si>
    <t xml:space="preserve">per cached-input token (~10% of input)</t>
  </si>
  <si>
    <t xml:space="preserve">~90% discount; cache persists ~5-10 min</t>
  </si>
  <si>
    <t xml:space="preserve">Batch API</t>
  </si>
  <si>
    <t xml:space="preserve">per token (-50%)</t>
  </si>
  <si>
    <t xml:space="preserve">24h completion window</t>
  </si>
  <si>
    <t xml:space="preserve">Priority processing</t>
  </si>
  <si>
    <t xml:space="preserve">per token (~2x standard)</t>
  </si>
  <si>
    <t xml:space="preserve">lower, more consistent latency</t>
  </si>
  <si>
    <t xml:space="preserve">Embeddings</t>
  </si>
  <si>
    <t xml:space="preserve">per token</t>
  </si>
  <si>
    <t xml:space="preserve">standard / batch</t>
  </si>
  <si>
    <t xml:space="preserve">fraction of a cent per query</t>
  </si>
  <si>
    <t xml:space="preserve">Whisper (speech-to-text)</t>
  </si>
  <si>
    <t xml:space="preserve">per audio-minute (~$0.006/min)</t>
  </si>
  <si>
    <t xml:space="preserve">transcription</t>
  </si>
  <si>
    <t xml:space="preserve">Image / audio tokens</t>
  </si>
  <si>
    <t xml:space="preserve">per image/audio token (separate rate)</t>
  </si>
  <si>
    <t xml:space="preserve">multimodal tokenized at distinct rates</t>
  </si>
  <si>
    <t xml:space="preserve">Web Search tool</t>
  </si>
  <si>
    <t xml:space="preserve">$10 / 1k calls + retrieved content tokens</t>
  </si>
  <si>
    <t xml:space="preserve">two-part bill: tool calls + search tokens fed to model</t>
  </si>
  <si>
    <t xml:space="preserve">File Search tool</t>
  </si>
  <si>
    <t xml:space="preserve">$2.50 / 1k queries + $0.10/GB/day storage</t>
  </si>
  <si>
    <t xml:space="preserve">first GB vector storage free</t>
  </si>
  <si>
    <t xml:space="preserve">Code Interpreter / containers</t>
  </si>
  <si>
    <t xml:space="preserve">$0.03/GB per 20-min session</t>
  </si>
  <si>
    <t xml:space="preserve">64GB container ~$1.92/session</t>
  </si>
  <si>
    <t xml:space="preserve">Fine-tuning</t>
  </si>
  <si>
    <t xml:space="preserve">per training token (+ inference premium)</t>
  </si>
  <si>
    <t xml:space="preserve">platform winding down: new orgs blocked; all by Jan 2027</t>
  </si>
  <si>
    <t xml:space="preserve">Data residency / regional processing</t>
  </si>
  <si>
    <t xml:space="preserve">+10% uplift</t>
  </si>
  <si>
    <t xml:space="preserve">models released on/after Mar 2026</t>
  </si>
  <si>
    <t xml:space="preserve">Input tokens</t>
  </si>
  <si>
    <t xml:space="preserve">Opus/Sonnet/Haiku tiers; 1M context flat on current models</t>
  </si>
  <si>
    <t xml:space="preserve">Output tokens (incl. extended thinking)</t>
  </si>
  <si>
    <t xml:space="preserve">thinking tokens billed as output; budget 2-5x visible output</t>
  </si>
  <si>
    <t xml:space="preserve">Cache reads</t>
  </si>
  <si>
    <t xml:space="preserve">0.1x base input</t>
  </si>
  <si>
    <t xml:space="preserve">~90% off repeated context</t>
  </si>
  <si>
    <t xml:space="preserve">Cache writes - 5 min</t>
  </si>
  <si>
    <t xml:space="preserve">1.25x base input</t>
  </si>
  <si>
    <t xml:space="preserve">pays for itself after 1 read</t>
  </si>
  <si>
    <t xml:space="preserve">Cache writes - 1 hour</t>
  </si>
  <si>
    <t xml:space="preserve">2x base input</t>
  </si>
  <si>
    <t xml:space="preserve">pays for itself after 2 reads</t>
  </si>
  <si>
    <t xml:space="preserve">per token (-50% in/out)</t>
  </si>
  <si>
    <t xml:space="preserve">24h; stacks with caching</t>
  </si>
  <si>
    <t xml:space="preserve">Long-context (&gt;200K)</t>
  </si>
  <si>
    <t xml:space="preserve">premium on eligible models</t>
  </si>
  <si>
    <t xml:space="preserve">applies on legacy Sonnets and similar</t>
  </si>
  <si>
    <t xml:space="preserve">Fast Mode</t>
  </si>
  <si>
    <t xml:space="preserve">premium (e.g. Opus 4.8 $10/$50)</t>
  </si>
  <si>
    <t xml:space="preserve">cannot combine with Batch</t>
  </si>
  <si>
    <t xml:space="preserve">Data residency (us)</t>
  </si>
  <si>
    <t xml:space="preserve">1.1x multiplier</t>
  </si>
  <si>
    <t xml:space="preserve">inference_geo setting</t>
  </si>
  <si>
    <t xml:space="preserve">Web search / code execution tools</t>
  </si>
  <si>
    <t xml:space="preserve">per-use tool fees</t>
  </si>
  <si>
    <t xml:space="preserve">tool overhead on top of tokens</t>
  </si>
  <si>
    <t xml:space="preserve">Managed Agents runtime</t>
  </si>
  <si>
    <t xml:space="preserve">session-hour (~$0.08/hr)</t>
  </si>
  <si>
    <t xml:space="preserve">runtime billed separately from tokens</t>
  </si>
  <si>
    <t xml:space="preserve">Claude Platform on AWS (CCU)</t>
  </si>
  <si>
    <t xml:space="preserve">Claude Consumption Units (100 CCU = $1)</t>
  </si>
  <si>
    <t xml:space="preserve">via AWS</t>
  </si>
  <si>
    <t xml:space="preserve">single CCU line on AWS bill - reconcile to model/feature rates</t>
  </si>
  <si>
    <t xml:space="preserve">Bedrock / Vertex regional endpoints</t>
  </si>
  <si>
    <t xml:space="preserve">+10% over global endpoints</t>
  </si>
  <si>
    <t xml:space="preserve">depends</t>
  </si>
  <si>
    <t xml:space="preserve">data-routing premium for residency</t>
  </si>
  <si>
    <t xml:space="preserve">Pro / Max / Team / Enterprise seats</t>
  </si>
  <si>
    <t xml:space="preserve">separate billing path from API key usage</t>
  </si>
  <si>
    <t xml:space="preserve">Neocloud</t>
  </si>
  <si>
    <t xml:space="preserve">GPU instance (H100/H200/GB200/B200)</t>
  </si>
  <si>
    <t xml:space="preserve">per GPU-hour (bundles CPU/RAM/NVMe)</t>
  </si>
  <si>
    <t xml:space="preserve">on-demand / spot / reserved</t>
  </si>
  <si>
    <t xml:space="preserve">yes (reserved 25-60% off)</t>
  </si>
  <si>
    <t xml:space="preserve">reserved bills whether used; min cluster size; spot up to -54%</t>
  </si>
  <si>
    <t xml:space="preserve">Object / Distributed File Storage</t>
  </si>
  <si>
    <t xml:space="preserve">per GB-month ($0.015-0.10)</t>
  </si>
  <si>
    <t xml:space="preserve">checkpoints &amp; datasets</t>
  </si>
  <si>
    <t xml:space="preserve">Networking (egress/ingress/transfer)</t>
  </si>
  <si>
    <t xml:space="preserve">$0 - no transfer fees</t>
  </si>
  <si>
    <t xml:space="preserve">NO ingress/egress/transfer fees - key differentiator vs hyperscalers</t>
  </si>
  <si>
    <t xml:space="preserve">InfiniBand interconnect</t>
  </si>
  <si>
    <t xml:space="preserve">bundled in multi-node config</t>
  </si>
  <si>
    <t xml:space="preserve">pay the interconnect premium only if you need 400Gbps fabric</t>
  </si>
  <si>
    <t xml:space="preserve">Lambda</t>
  </si>
  <si>
    <t xml:space="preserve">GPU instance (H100/B200)</t>
  </si>
  <si>
    <t xml:space="preserve">per GPU-hour (per-minute billing)</t>
  </si>
  <si>
    <t xml:space="preserve">on-demand / reserved cluster</t>
  </si>
  <si>
    <t xml:space="preserve">1-click clusters 16-2000+ GPUs; no egress fees; on-demand capacity swings</t>
  </si>
  <si>
    <t xml:space="preserve">Persistent storage</t>
  </si>
  <si>
    <t xml:space="preserve">persists across instances</t>
  </si>
  <si>
    <t xml:space="preserve">Reserved capacity</t>
  </si>
  <si>
    <t xml:space="preserve">committed term (lowest rate)</t>
  </si>
  <si>
    <t xml:space="preserve">quoted via sales for sustained usage</t>
  </si>
  <si>
    <t xml:space="preserve">Vector DB SaaS</t>
  </si>
  <si>
    <t xml:space="preserve">Serverless - Read Units (RU)</t>
  </si>
  <si>
    <t xml:space="preserve">per RU (1 RU/GB namespace, min 0.25/query)</t>
  </si>
  <si>
    <t xml:space="preserve">query RU scales with namespace size - big namespaces cost more per query</t>
  </si>
  <si>
    <t xml:space="preserve">Serverless - Write Units (WU)</t>
  </si>
  <si>
    <t xml:space="preserve">per WU (per upsert)</t>
  </si>
  <si>
    <t xml:space="preserve">ingestion cost; failed imports still billed for records read</t>
  </si>
  <si>
    <t xml:space="preserve">Serverless - Storage</t>
  </si>
  <si>
    <t xml:space="preserve">per GB-month (~$0.33)</t>
  </si>
  <si>
    <t xml:space="preserve">indexed vectors at rest</t>
  </si>
  <si>
    <t xml:space="preserve">Capacity fees</t>
  </si>
  <si>
    <t xml:space="preserve">variable reservation at sustained load</t>
  </si>
  <si>
    <t xml:space="preserve">unpublished; surfaces after the fact - top source of bill surprise</t>
  </si>
  <si>
    <t xml:space="preserve">Dedicated Read Nodes (DRN)</t>
  </si>
  <si>
    <t xml:space="preserve">fixed hourly</t>
  </si>
  <si>
    <t xml:space="preserve">predictable; replaces per-RU billing for steady QPS</t>
  </si>
  <si>
    <t xml:space="preserve">Monthly minimum</t>
  </si>
  <si>
    <t xml:space="preserve">plan floor (~$50 Standard)</t>
  </si>
  <si>
    <t xml:space="preserve">billed up to the minimum even at low usage</t>
  </si>
  <si>
    <t xml:space="preserve">Inference API (hosted embeddings)</t>
  </si>
  <si>
    <t xml:space="preserve">built-in embedding generation</t>
  </si>
  <si>
    <t xml:space="preserve">Egress on migration</t>
  </si>
  <si>
    <t xml:space="preserve">per GB (from underlying cloud)</t>
  </si>
  <si>
    <t xml:space="preserve">keep source-of-truth in S3/GCS to re-hydrate without egress</t>
  </si>
  <si>
    <t xml:space="preserve">Weaviate</t>
  </si>
  <si>
    <t xml:space="preserve">Cloud Serverless - Activity Units (AU)</t>
  </si>
  <si>
    <t xml:space="preserve">per AU-hour (~$0.095)</t>
  </si>
  <si>
    <t xml:space="preserve">AU varies by query complexity - hardest model to forecast</t>
  </si>
  <si>
    <t xml:space="preserve">Storage - hot</t>
  </si>
  <si>
    <t xml:space="preserve">per GB-month (~$0.035)</t>
  </si>
  <si>
    <t xml:space="preserve">hot tier</t>
  </si>
  <si>
    <t xml:space="preserve">Storage - warm</t>
  </si>
  <si>
    <t xml:space="preserve">per GB-month (~$0.0125)</t>
  </si>
  <si>
    <t xml:space="preserve">warm tier</t>
  </si>
  <si>
    <t xml:space="preserve">Built-in vectorizer / hybrid search</t>
  </si>
  <si>
    <t xml:space="preserve">included in AU consumption</t>
  </si>
  <si>
    <t xml:space="preserve">no separate embedding API or reranker - saves an external call</t>
  </si>
  <si>
    <t xml:space="preserve">Dedicated Cloud</t>
  </si>
  <si>
    <t xml:space="preserve">fixed infrastructure (contact sales)</t>
  </si>
  <si>
    <t xml:space="preserve">for compliance + scale; predictable vs AU billing</t>
  </si>
  <si>
    <t xml:space="preserve">Cost Driver -&gt; Lever Map</t>
  </si>
  <si>
    <t xml:space="preserve">Cost Driver</t>
  </si>
  <si>
    <t xml:space="preserve">Lever</t>
  </si>
  <si>
    <t xml:space="preserve">Mechanism</t>
  </si>
  <si>
    <t xml:space="preserve">Typical Impact</t>
  </si>
  <si>
    <t xml:space="preserve">Trade-off / Risk</t>
  </si>
  <si>
    <t xml:space="preserve">Applies To</t>
  </si>
  <si>
    <t xml:space="preserve">High output / reasoning token spend</t>
  </si>
  <si>
    <t xml:space="preserve">Constrain output &amp; reasoning effort</t>
  </si>
  <si>
    <t xml:space="preserve">Cap max_tokens; set reasoning effort low where supported; tighten prompts</t>
  </si>
  <si>
    <t xml:space="preserve">10-40% on output-heavy workloads</t>
  </si>
  <si>
    <t xml:space="preserve">May reduce completeness/quality on hard tasks</t>
  </si>
  <si>
    <t xml:space="preserve">All token-billed</t>
  </si>
  <si>
    <t xml:space="preserve">Repeated context (system prompts, RAG chunks, manuals)</t>
  </si>
  <si>
    <t xml:space="preserve">Prompt caching</t>
  </si>
  <si>
    <t xml:space="preserve">Cache static prefix; reads at ~10% of input rate</t>
  </si>
  <si>
    <t xml:space="preserve">Up to 90% on repeated input</t>
  </si>
  <si>
    <t xml:space="preserve">Cache-write surcharge; TTL expiry; exact-match required</t>
  </si>
  <si>
    <t xml:space="preserve">direct-API, hyperscaler-platform</t>
  </si>
  <si>
    <t xml:space="preserve">Non-urgent / offline jobs</t>
  </si>
  <si>
    <t xml:space="preserve">Batch tier</t>
  </si>
  <si>
    <t xml:space="preserve">Async 24h processing at -50% in/out</t>
  </si>
  <si>
    <t xml:space="preserve">50% on eligible volume</t>
  </si>
  <si>
    <t xml:space="preserve">Latency unacceptable for user-facing work</t>
  </si>
  <si>
    <t xml:space="preserve">Over-powered model for simple tasks</t>
  </si>
  <si>
    <t xml:space="preserve">Model right-sizing / routing</t>
  </si>
  <si>
    <t xml:space="preserve">Route by task complexity to smallest adequate model (or Model Optimizer)</t>
  </si>
  <si>
    <t xml:space="preserve">10-25x on mismatched calls</t>
  </si>
  <si>
    <t xml:space="preserve">Routing logic + eval overhead; quality regressions</t>
  </si>
  <si>
    <t xml:space="preserve">All model channels</t>
  </si>
  <si>
    <t xml:space="preserve">Bursty traffic on reserved capacity</t>
  </si>
  <si>
    <t xml:space="preserve">inference / compute-infra</t>
  </si>
  <si>
    <t xml:space="preserve">Match commitment to baseline only</t>
  </si>
  <si>
    <t xml:space="preserve">Reserve steady baseline; burst on-demand</t>
  </si>
  <si>
    <t xml:space="preserve">Eliminates unused-commitment waste</t>
  </si>
  <si>
    <t xml:space="preserve">Under-reserving risks throttling</t>
  </si>
  <si>
    <t xml:space="preserve">provisioned / PTU / reserved</t>
  </si>
  <si>
    <t xml:space="preserve">Idle GPU instances</t>
  </si>
  <si>
    <t xml:space="preserve">Idle detection + auto-stop / scale-to-zero</t>
  </si>
  <si>
    <t xml:space="preserve">Scheduled shutdown; serverless inference; spot for fault-tolerant jobs</t>
  </si>
  <si>
    <t xml:space="preserve">20-60% of self-hosted spend</t>
  </si>
  <si>
    <t xml:space="preserve">Cold-start latency; spot preemption</t>
  </si>
  <si>
    <t xml:space="preserve">self-hosted-cloud-GPU, neocloud</t>
  </si>
  <si>
    <t xml:space="preserve">Ghost / idle inference endpoints</t>
  </si>
  <si>
    <t xml:space="preserve">Endpoint TTL + auto-undeploy</t>
  </si>
  <si>
    <t xml:space="preserve">Scan zero-traffic endpoints; undeploy dev after N hours</t>
  </si>
  <si>
    <t xml:space="preserve">Removes standing ghost spend</t>
  </si>
  <si>
    <t xml:space="preserve">Redeploy latency</t>
  </si>
  <si>
    <t xml:space="preserve">RAG vector-store standing floor</t>
  </si>
  <si>
    <t xml:space="preserve">Right-size or consolidate vector store</t>
  </si>
  <si>
    <t xml:space="preserve">Share namespaces; consolidate indexes; evaluate self-host at scale</t>
  </si>
  <si>
    <t xml:space="preserve">Removes per-index floors; 3-10x at &gt;50M vectors</t>
  </si>
  <si>
    <t xml:space="preserve">Namespace isolation vs performance; ops burden if self-hosted</t>
  </si>
  <si>
    <t xml:space="preserve">All RAG</t>
  </si>
  <si>
    <t xml:space="preserve">Agent call amplification</t>
  </si>
  <si>
    <t xml:space="preserve">Cap agent steps + cache intermediates</t>
  </si>
  <si>
    <t xml:space="preserve">Bound loop depth; semantic cache; intent-gate tool calls</t>
  </si>
  <si>
    <t xml:space="preserve">Proportional to fan-out reduction</t>
  </si>
  <si>
    <t xml:space="preserve">May truncate legitimate multi-step reasoning</t>
  </si>
  <si>
    <t xml:space="preserve">Agent stacks</t>
  </si>
  <si>
    <t xml:space="preserve">Data egress</t>
  </si>
  <si>
    <t xml:space="preserve">Co-locate compute &amp; data; minimize cross-region</t>
  </si>
  <si>
    <t xml:space="preserve">Keep data with GPUs; choose no-egress neocloud; store source-of-truth in object storage</t>
  </si>
  <si>
    <t xml:space="preserve">Eliminates egress lines (neoclouds $0)</t>
  </si>
  <si>
    <t xml:space="preserve">Provider lock-in considerations</t>
  </si>
  <si>
    <t xml:space="preserve">hyperscaler, vector-DB migration</t>
  </si>
  <si>
    <t xml:space="preserve">Managed-service markup</t>
  </si>
  <si>
    <t xml:space="preserve">Self-manage where ops capacity exists</t>
  </si>
  <si>
    <t xml:space="preserve">Run on raw EC2/GKE/neocloud vs managed (SageMaker ml.)</t>
  </si>
  <si>
    <t xml:space="preserve">Removes 20-40% markup</t>
  </si>
  <si>
    <t xml:space="preserve">Adds ops / on-call burden</t>
  </si>
  <si>
    <t xml:space="preserve">Long-context premium</t>
  </si>
  <si>
    <t xml:space="preserve">Context engineering / chunking</t>
  </si>
  <si>
    <t xml:space="preserve">Stay under threshold (200K/272K); split work; retrieve less</t>
  </si>
  <si>
    <t xml:space="preserve">Avoids 1.5-2x session premium</t>
  </si>
  <si>
    <t xml:space="preserve">More retrieval complexity</t>
  </si>
  <si>
    <t xml:space="preserve">Tool-call fees (web/file search, code exec)</t>
  </si>
  <si>
    <t xml:space="preserve">retrieval-RAG / orchestration-agents</t>
  </si>
  <si>
    <t xml:space="preserve">Intent-gate tools</t>
  </si>
  <si>
    <t xml:space="preserve">Classify intent before invoking; cache tool results</t>
  </si>
  <si>
    <t xml:space="preserve">Removes unnecessary per-call + retrieved-token cost</t>
  </si>
  <si>
    <t xml:space="preserve">Gating false-negatives miss needed data</t>
  </si>
  <si>
    <t xml:space="preserve">direct-API</t>
  </si>
  <si>
    <t xml:space="preserve">Unused / expiring credits &amp; commitments</t>
  </si>
  <si>
    <t xml:space="preserve">Commitment lifecycle tracking</t>
  </si>
  <si>
    <t xml:space="preserve">Alert on unused commitment &amp; expiring credits; true-up to baseline</t>
  </si>
  <si>
    <t xml:space="preserve">Recovers stranded spend</t>
  </si>
  <si>
    <t xml:space="preserve">Requires usage forecasting</t>
  </si>
  <si>
    <t xml:space="preserve">All committed / credit</t>
  </si>
  <si>
    <t xml:space="preserve">Shadow AI</t>
  </si>
  <si>
    <t xml:space="preserve">Governance + sanctioned-tool catalog</t>
  </si>
  <si>
    <t xml:space="preserve">Discover card spend; consolidate to governed seats</t>
  </si>
  <si>
    <t xml:space="preserve">Consolidates duplicate spend + reduces risk</t>
  </si>
  <si>
    <t xml:space="preserve">Change-management friction</t>
  </si>
  <si>
    <t xml:space="preserve">Marketplace charges bypassing commitments</t>
  </si>
  <si>
    <t xml:space="preserve">Channel-eligibility tagging</t>
  </si>
  <si>
    <t xml:space="preserve">Flag CommitmentEligible=FALSE; route eligible volume first-party</t>
  </si>
  <si>
    <t xml:space="preserve">Protects MACC/CUD/SP drawdown</t>
  </si>
  <si>
    <t xml:space="preserve">May constrain model choice</t>
  </si>
  <si>
    <t xml:space="preserve">marketplace channel</t>
  </si>
  <si>
    <t xml:space="preserve">Verbose / inefficient prompts</t>
  </si>
  <si>
    <t xml:space="preserve">Prompt compression</t>
  </si>
  <si>
    <t xml:space="preserve">Trim system prompts; structure for cache reuse</t>
  </si>
  <si>
    <t xml:space="preserve">5-20% on input</t>
  </si>
  <si>
    <t xml:space="preserve">Engineering time; readability</t>
  </si>
  <si>
    <t xml:space="preserve">Failed / restarted training runs</t>
  </si>
  <si>
    <t xml:space="preserve">Checkpointing + spot-safe orchestration</t>
  </si>
  <si>
    <t xml:space="preserve">Frequent checkpoints; resume on preemption; validate small first</t>
  </si>
  <si>
    <t xml:space="preserve">Recovers wasted compute</t>
  </si>
  <si>
    <t xml:space="preserve">Checkpoint storage overhead</t>
  </si>
  <si>
    <t xml:space="preserve">training, fine-tuning</t>
  </si>
  <si>
    <t xml:space="preserve">Fine-tune hosting when idle</t>
  </si>
  <si>
    <t xml:space="preserve">training / inference</t>
  </si>
  <si>
    <t xml:space="preserve">Consolidate or undeploy idle fine-tunes</t>
  </si>
  <si>
    <t xml:space="preserve">Measure vs caching + smaller base model first</t>
  </si>
  <si>
    <t xml:space="preserve">Removes idle hosting cost</t>
  </si>
  <si>
    <t xml:space="preserve">Redeploy latency; fine-tune may be unnecessary</t>
  </si>
  <si>
    <t xml:space="preserve">Embedding re-generation</t>
  </si>
  <si>
    <t xml:space="preserve">Persist &amp; reuse embeddings</t>
  </si>
  <si>
    <t xml:space="preserve">Store embeddings in object storage; re-hydrate vs re-embed</t>
  </si>
  <si>
    <t xml:space="preserve">Avoids repeat embedding cost + egress</t>
  </si>
  <si>
    <t xml:space="preserve">Storage cost; staleness management</t>
  </si>
  <si>
    <t xml:space="preserve">RAG stacks</t>
  </si>
  <si>
    <t xml:space="preserve">source_file</t>
  </si>
  <si>
    <t xml:space="preserve">Quantity</t>
  </si>
  <si>
    <t xml:space="preserve">BilledCost</t>
  </si>
  <si>
    <t xml:space="preserve">focus_aws_export.csv</t>
  </si>
  <si>
    <t xml:space="preserve">claude-opus-4-8</t>
  </si>
  <si>
    <t xml:space="preserve">tokens</t>
  </si>
  <si>
    <t xml:space="preserve">FALSE</t>
  </si>
  <si>
    <t xml:space="preserve">customer-support</t>
  </si>
  <si>
    <t xml:space="preserve">48200000</t>
  </si>
  <si>
    <t xml:space="preserve">claude-sonnet-4-6</t>
  </si>
  <si>
    <t xml:space="preserve">model-unit-Hrs</t>
  </si>
  <si>
    <t xml:space="preserve">Used</t>
  </si>
  <si>
    <t xml:space="preserve">TRUE</t>
  </si>
  <si>
    <t xml:space="preserve">search</t>
  </si>
  <si>
    <t xml:space="preserve">720</t>
  </si>
  <si>
    <t xml:space="preserve">Amazon SageMaker</t>
  </si>
  <si>
    <t xml:space="preserve">Hrs</t>
  </si>
  <si>
    <t xml:space="preserve">ml-platform</t>
  </si>
  <si>
    <t xml:space="preserve">36</t>
  </si>
  <si>
    <t xml:space="preserve">Amazon Elastic Compute Cloud</t>
  </si>
  <si>
    <t xml:space="preserve">210</t>
  </si>
  <si>
    <t xml:space="preserve">Unused</t>
  </si>
  <si>
    <t xml:space="preserve">48</t>
  </si>
  <si>
    <t xml:space="preserve">Amazon OpenSearch Service</t>
  </si>
  <si>
    <t xml:space="preserve">OCU-Hrs</t>
  </si>
  <si>
    <t xml:space="preserve">1440</t>
  </si>
  <si>
    <t xml:space="preserve">Amazon Simple Storage Service</t>
  </si>
  <si>
    <t xml:space="preserve">GB-Mo</t>
  </si>
  <si>
    <t xml:space="preserve">4100</t>
  </si>
  <si>
    <t xml:space="preserve">GB</t>
  </si>
  <si>
    <t xml:space="preserve">920</t>
  </si>
  <si>
    <t xml:space="preserve">Amazon Q</t>
  </si>
  <si>
    <t xml:space="preserve">seats</t>
  </si>
  <si>
    <t xml:space="preserve">engineering</t>
  </si>
  <si>
    <t xml:space="preserve">25</t>
  </si>
  <si>
    <t xml:space="preserve">openai_usage_export.csv</t>
  </si>
  <si>
    <t xml:space="preserve">OpenAI chat.completions</t>
  </si>
  <si>
    <t xml:space="preserve">gpt-5.4</t>
  </si>
  <si>
    <t xml:space="preserve">prod-assistant</t>
  </si>
  <si>
    <t xml:space="preserve">12500000</t>
  </si>
  <si>
    <t xml:space="preserve">gpt-5.4-mini</t>
  </si>
  <si>
    <t xml:space="preserve">data-enrichment</t>
  </si>
  <si>
    <t xml:space="preserve">30000000</t>
  </si>
  <si>
    <t xml:space="preserve">OpenAI embeddings</t>
  </si>
  <si>
    <t xml:space="preserve">text-embedding-3-large</t>
  </si>
  <si>
    <t xml:space="preserve">88000000</t>
  </si>
  <si>
    <t xml:space="preserve">OpenAI web_search</t>
  </si>
  <si>
    <t xml:space="preserve">640000</t>
  </si>
  <si>
    <t xml:space="preserve">ft:gpt-4.1:acme::r7</t>
  </si>
  <si>
    <t xml:space="preserve">legacy-classifier</t>
  </si>
  <si>
    <t xml:space="preserve">5200000</t>
  </si>
  <si>
    <t xml:space="preserve">anthropic_usage_export.csv</t>
  </si>
  <si>
    <t xml:space="preserve">Claude API</t>
  </si>
  <si>
    <t xml:space="preserve">support-ws</t>
  </si>
  <si>
    <t xml:space="preserve">2100000</t>
  </si>
  <si>
    <t xml:space="preserve">analytics-ws</t>
  </si>
  <si>
    <t xml:space="preserve">9000000</t>
  </si>
  <si>
    <t xml:space="preserve">claude-haiku-4-5</t>
  </si>
  <si>
    <t xml:space="preserve">800000</t>
  </si>
  <si>
    <t xml:space="preserve">Claude Managed Agents</t>
  </si>
  <si>
    <t xml:space="preserve">310</t>
  </si>
  <si>
    <t xml:space="preserve">coreweave_invoice.csv</t>
  </si>
  <si>
    <t xml:space="preserve">gpu_compute</t>
  </si>
  <si>
    <t xml:space="preserve">504</t>
  </si>
  <si>
    <t xml:space="preserve">distributed_file_storage</t>
  </si>
  <si>
    <t xml:space="preserve">network_egress</t>
  </si>
  <si>
    <t xml:space="preserve">pinecone_invoice.csv</t>
  </si>
  <si>
    <t xml:space="preserve">Pinecone Read Units</t>
  </si>
  <si>
    <t xml:space="preserve">per-RU</t>
  </si>
  <si>
    <t xml:space="preserve">rag-prod</t>
  </si>
  <si>
    <t xml:space="preserve">920000000</t>
  </si>
  <si>
    <t xml:space="preserve">Pinecone Write Units</t>
  </si>
  <si>
    <t xml:space="preserve">per-WU</t>
  </si>
  <si>
    <t xml:space="preserve">140000000</t>
  </si>
  <si>
    <t xml:space="preserve">Pinecone Storage</t>
  </si>
  <si>
    <t xml:space="preserve">165</t>
  </si>
  <si>
    <t xml:space="preserve">Pinecone Capacity Fee</t>
  </si>
  <si>
    <t xml:space="preserve">1</t>
  </si>
  <si>
    <t xml:space="preserve">Pinecone Monthly Minimum True-up</t>
  </si>
  <si>
    <t xml:space="preserve">rag-dev</t>
  </si>
  <si>
    <t xml:space="preserve">saas_seats_invoice.csv</t>
  </si>
  <si>
    <t xml:space="preserve">Copilot Business</t>
  </si>
  <si>
    <t xml:space="preserve">60</t>
  </si>
  <si>
    <t xml:space="preserve">Acme Agent Pro</t>
  </si>
  <si>
    <t xml:space="preserve">unknown</t>
  </si>
  <si>
    <t xml:space="preserve">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</si>
</sst>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EC"/>
        <bgColor rgb="FFCCCCCC"/>
      </patternFill>
    </fill>
    <fill>
      <patternFill patternType="solid">
        <fgColor rgb="FF1F3A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9E1EC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57.7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57.7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</row>
    <row r="5" customFormat="false" ht="57.7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</row>
    <row r="6" customFormat="false" ht="57.7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57.7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57.7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10" customFormat="false" ht="15" hidden="false" customHeight="true" outlineLevel="0" collapsed="false">
      <c r="A10" s="5" t="s">
        <v>13</v>
      </c>
    </row>
    <row r="11" customFormat="false" ht="31.5" hidden="false" customHeight="true" outlineLevel="0" collapsed="false">
      <c r="A11" s="6" t="s">
        <v>14</v>
      </c>
      <c r="B11" s="4" t="s">
        <v>15</v>
      </c>
      <c r="C11" s="4"/>
      <c r="D11" s="4"/>
      <c r="E11" s="4"/>
      <c r="F11" s="4"/>
    </row>
    <row r="12" customFormat="false" ht="31.5" hidden="false" customHeight="true" outlineLevel="0" collapsed="false">
      <c r="A12" s="6" t="s">
        <v>16</v>
      </c>
      <c r="B12" s="4" t="s">
        <v>17</v>
      </c>
      <c r="C12" s="4"/>
      <c r="D12" s="4"/>
      <c r="E12" s="4"/>
      <c r="F12" s="4"/>
    </row>
    <row r="13" customFormat="false" ht="31.5" hidden="false" customHeight="true" outlineLevel="0" collapsed="false">
      <c r="A13" s="6" t="s">
        <v>18</v>
      </c>
      <c r="B13" s="4" t="s">
        <v>19</v>
      </c>
      <c r="C13" s="4"/>
      <c r="D13" s="4"/>
      <c r="E13" s="4"/>
      <c r="F13" s="4"/>
    </row>
    <row r="14" customFormat="false" ht="31.5" hidden="false" customHeight="true" outlineLevel="0" collapsed="false">
      <c r="A14" s="6" t="s">
        <v>20</v>
      </c>
      <c r="B14" s="4" t="s">
        <v>21</v>
      </c>
      <c r="C14" s="4"/>
      <c r="D14" s="4"/>
      <c r="E14" s="4"/>
      <c r="F14" s="4"/>
    </row>
  </sheetData>
  <mergeCells count="11">
    <mergeCell ref="A1:D1"/>
    <mergeCell ref="B3:F3"/>
    <mergeCell ref="B4:F4"/>
    <mergeCell ref="B5:F5"/>
    <mergeCell ref="B6:F6"/>
    <mergeCell ref="B7:F7"/>
    <mergeCell ref="B8:F8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7" t="s">
        <v>22</v>
      </c>
      <c r="B1" s="7"/>
      <c r="C1" s="7"/>
      <c r="D1" s="7"/>
      <c r="E1" s="7"/>
    </row>
    <row r="2" customFormat="false" ht="15" hidden="false" customHeight="false" outlineLevel="0" collapsed="false">
      <c r="A2" s="8" t="s">
        <v>23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24</v>
      </c>
      <c r="B4" s="10" t="n">
        <f aca="false">SUM(Normalized_Data!$V$2:$V$1000)</f>
        <v>63683.14</v>
      </c>
    </row>
    <row r="6" customFormat="false" ht="15" hidden="false" customHeight="false" outlineLevel="0" collapsed="false">
      <c r="A6" s="11" t="s">
        <v>25</v>
      </c>
      <c r="B6" s="12"/>
      <c r="C6" s="12"/>
      <c r="D6" s="12"/>
    </row>
    <row r="7" customFormat="false" ht="15" hidden="false" customHeight="false" outlineLevel="0" collapsed="false">
      <c r="A7" s="13" t="s">
        <v>26</v>
      </c>
      <c r="B7" s="13" t="s">
        <v>27</v>
      </c>
      <c r="C7" s="13" t="s">
        <v>28</v>
      </c>
    </row>
    <row r="8" customFormat="false" ht="15" hidden="false" customHeight="false" outlineLevel="0" collapsed="false">
      <c r="A8" s="14" t="s">
        <v>29</v>
      </c>
      <c r="B8" s="15" t="n">
        <f aca="false">SUMIF(Normalized_Data!$D$2:$D$1000,A8,Normalized_Data!$V$2:$V$1000)</f>
        <v>15805.12</v>
      </c>
      <c r="C8" s="16" t="n">
        <f aca="false">IF($B$4=0,0,B8/$B$4)</f>
        <v>0.248183742196129</v>
      </c>
    </row>
    <row r="9" customFormat="false" ht="15" hidden="false" customHeight="false" outlineLevel="0" collapsed="false">
      <c r="A9" s="14" t="s">
        <v>30</v>
      </c>
      <c r="B9" s="15" t="n">
        <f aca="false">SUMIF(Normalized_Data!$D$2:$D$1000,A9,Normalized_Data!$V$2:$V$1000)</f>
        <v>1356.77</v>
      </c>
      <c r="C9" s="16" t="n">
        <f aca="false">IF($B$4=0,0,B9/$B$4)</f>
        <v>0.0213050110280366</v>
      </c>
    </row>
    <row r="10" customFormat="false" ht="15" hidden="false" customHeight="false" outlineLevel="0" collapsed="false">
      <c r="A10" s="14" t="s">
        <v>31</v>
      </c>
      <c r="B10" s="15" t="n">
        <f aca="false">SUMIF(Normalized_Data!$D$2:$D$1000,A10,Normalized_Data!$V$2:$V$1000)</f>
        <v>43497.3</v>
      </c>
      <c r="C10" s="16" t="n">
        <f aca="false">IF($B$4=0,0,B10/$B$4)</f>
        <v>0.683026936171803</v>
      </c>
    </row>
    <row r="11" customFormat="false" ht="15" hidden="false" customHeight="false" outlineLevel="0" collapsed="false">
      <c r="A11" s="14" t="s">
        <v>32</v>
      </c>
      <c r="B11" s="15" t="n">
        <f aca="false">SUMIF(Normalized_Data!$D$2:$D$1000,A11,Normalized_Data!$V$2:$V$1000)</f>
        <v>358.75</v>
      </c>
      <c r="C11" s="16" t="n">
        <f aca="false">IF($B$4=0,0,B11/$B$4)</f>
        <v>0.00563335915911182</v>
      </c>
    </row>
    <row r="12" customFormat="false" ht="15" hidden="false" customHeight="false" outlineLevel="0" collapsed="false">
      <c r="A12" s="14" t="s">
        <v>33</v>
      </c>
      <c r="B12" s="15" t="n">
        <f aca="false">SUMIF(Normalized_Data!$D$2:$D$1000,A12,Normalized_Data!$V$2:$V$1000)</f>
        <v>82.8</v>
      </c>
      <c r="C12" s="16" t="n">
        <f aca="false">IF($B$4=0,0,B12/$B$4)</f>
        <v>0.00130018714529466</v>
      </c>
    </row>
    <row r="13" customFormat="false" ht="15" hidden="false" customHeight="false" outlineLevel="0" collapsed="false">
      <c r="A13" s="14" t="s">
        <v>34</v>
      </c>
      <c r="B13" s="15" t="n">
        <f aca="false">SUMIF(Normalized_Data!$D$2:$D$1000,A13,Normalized_Data!$V$2:$V$1000)</f>
        <v>782.6</v>
      </c>
      <c r="C13" s="16" t="n">
        <f aca="false">IF($B$4=0,0,B13/$B$4)</f>
        <v>0.0122889669070966</v>
      </c>
    </row>
    <row r="14" customFormat="false" ht="15" hidden="false" customHeight="false" outlineLevel="0" collapsed="false">
      <c r="A14" s="14" t="s">
        <v>35</v>
      </c>
      <c r="B14" s="15" t="n">
        <f aca="false">SUMIF(Normalized_Data!$D$2:$D$1000,A14,Normalized_Data!$V$2:$V$1000)</f>
        <v>24.8</v>
      </c>
      <c r="C14" s="16" t="n">
        <f aca="false">IF($B$4=0,0,B14/$B$4)</f>
        <v>0.000389428033856371</v>
      </c>
    </row>
    <row r="15" customFormat="false" ht="15" hidden="false" customHeight="false" outlineLevel="0" collapsed="false">
      <c r="A15" s="14" t="s">
        <v>36</v>
      </c>
      <c r="B15" s="15" t="n">
        <f aca="false">SUMIF(Normalized_Data!$D$2:$D$1000,A15,Normalized_Data!$V$2:$V$1000)</f>
        <v>0</v>
      </c>
      <c r="C15" s="16" t="n">
        <f aca="false">IF($B$4=0,0,B15/$B$4)</f>
        <v>0</v>
      </c>
    </row>
    <row r="16" customFormat="false" ht="15" hidden="false" customHeight="false" outlineLevel="0" collapsed="false">
      <c r="A16" s="14" t="s">
        <v>37</v>
      </c>
      <c r="B16" s="15" t="n">
        <f aca="false">SUMIF(Normalized_Data!$D$2:$D$1000,A16,Normalized_Data!$V$2:$V$1000)</f>
        <v>0</v>
      </c>
      <c r="C16" s="16" t="n">
        <f aca="false">IF($B$4=0,0,B16/$B$4)</f>
        <v>0</v>
      </c>
    </row>
    <row r="17" customFormat="false" ht="15" hidden="false" customHeight="false" outlineLevel="0" collapsed="false">
      <c r="A17" s="14" t="s">
        <v>38</v>
      </c>
      <c r="B17" s="15" t="n">
        <f aca="false">SUMIF(Normalized_Data!$D$2:$D$1000,A17,Normalized_Data!$V$2:$V$1000)</f>
        <v>0</v>
      </c>
      <c r="C17" s="16" t="n">
        <f aca="false">IF($B$4=0,0,B17/$B$4)</f>
        <v>0</v>
      </c>
    </row>
    <row r="18" customFormat="false" ht="15" hidden="false" customHeight="false" outlineLevel="0" collapsed="false">
      <c r="A18" s="14" t="s">
        <v>39</v>
      </c>
      <c r="B18" s="15" t="n">
        <f aca="false">SUMIF(Normalized_Data!$D$2:$D$1000,A18,Normalized_Data!$V$2:$V$1000)</f>
        <v>0</v>
      </c>
      <c r="C18" s="16" t="n">
        <f aca="false">IF($B$4=0,0,B18/$B$4)</f>
        <v>0</v>
      </c>
    </row>
    <row r="19" customFormat="false" ht="15" hidden="false" customHeight="false" outlineLevel="0" collapsed="false">
      <c r="A19" s="14" t="s">
        <v>40</v>
      </c>
      <c r="B19" s="15" t="n">
        <f aca="false">SUMIF(Normalized_Data!$D$2:$D$1000,A19,Normalized_Data!$V$2:$V$1000)</f>
        <v>1775</v>
      </c>
      <c r="C19" s="16" t="n">
        <f aca="false">IF($B$4=0,0,B19/$B$4)</f>
        <v>0.0278723693586717</v>
      </c>
    </row>
    <row r="20" customFormat="false" ht="15" hidden="false" customHeight="false" outlineLevel="0" collapsed="false">
      <c r="A20" s="14" t="s">
        <v>41</v>
      </c>
      <c r="B20" s="15" t="n">
        <f aca="false">SUMIF(Normalized_Data!$D$2:$D$1000,A20,Normalized_Data!$V$2:$V$1000)</f>
        <v>0</v>
      </c>
      <c r="C20" s="16" t="n">
        <f aca="false">IF($B$4=0,0,B20/$B$4)</f>
        <v>0</v>
      </c>
    </row>
    <row r="21" customFormat="false" ht="15" hidden="false" customHeight="false" outlineLevel="0" collapsed="false">
      <c r="A21" s="14" t="s">
        <v>42</v>
      </c>
      <c r="B21" s="15" t="n">
        <f aca="false">SUMIF(Normalized_Data!$D$2:$D$1000,A21,Normalized_Data!$V$2:$V$1000)</f>
        <v>0</v>
      </c>
      <c r="C21" s="16" t="n">
        <f aca="false">IF($B$4=0,0,B21/$B$4)</f>
        <v>0</v>
      </c>
    </row>
    <row r="22" customFormat="false" ht="15" hidden="false" customHeight="false" outlineLevel="0" collapsed="false">
      <c r="A22" s="14" t="s">
        <v>43</v>
      </c>
      <c r="B22" s="15" t="n">
        <f aca="false">SUMIF(Normalized_Data!$D$2:$D$1000,A22,Normalized_Data!$V$2:$V$1000)</f>
        <v>0</v>
      </c>
      <c r="C22" s="16" t="n">
        <f aca="false">IF($B$4=0,0,B22/$B$4)</f>
        <v>0</v>
      </c>
    </row>
    <row r="23" customFormat="false" ht="15" hidden="false" customHeight="false" outlineLevel="0" collapsed="false">
      <c r="A23" s="14" t="s">
        <v>44</v>
      </c>
      <c r="B23" s="15" t="n">
        <f aca="false">SUMIF(Normalized_Data!$D$2:$D$1000,A23,Normalized_Data!$V$2:$V$1000)</f>
        <v>0</v>
      </c>
      <c r="C23" s="16" t="n">
        <f aca="false">IF($B$4=0,0,B23/$B$4)</f>
        <v>0</v>
      </c>
    </row>
    <row r="24" customFormat="false" ht="15" hidden="false" customHeight="false" outlineLevel="0" collapsed="false">
      <c r="A24" s="14" t="s">
        <v>45</v>
      </c>
      <c r="B24" s="15" t="n">
        <f aca="false">SUMIF(Normalized_Data!$D$2:$D$1000,A24,Normalized_Data!$V$2:$V$1000)</f>
        <v>0</v>
      </c>
      <c r="C24" s="16" t="n">
        <f aca="false">IF($B$4=0,0,B24/$B$4)</f>
        <v>0</v>
      </c>
    </row>
    <row r="26" customFormat="false" ht="15" hidden="false" customHeight="false" outlineLevel="0" collapsed="false">
      <c r="A26" s="11" t="s">
        <v>46</v>
      </c>
      <c r="B26" s="12"/>
      <c r="C26" s="12"/>
      <c r="D26" s="12"/>
    </row>
    <row r="27" customFormat="false" ht="15" hidden="false" customHeight="false" outlineLevel="0" collapsed="false">
      <c r="A27" s="13" t="s">
        <v>47</v>
      </c>
      <c r="B27" s="13" t="s">
        <v>27</v>
      </c>
      <c r="C27" s="13" t="s">
        <v>28</v>
      </c>
    </row>
    <row r="28" customFormat="false" ht="15" hidden="false" customHeight="false" outlineLevel="0" collapsed="false">
      <c r="A28" s="14" t="s">
        <v>48</v>
      </c>
      <c r="B28" s="15" t="n">
        <f aca="false">SUMIF(Normalized_Data!$E$2:$E$1000,A28,Normalized_Data!$V$2:$V$1000)</f>
        <v>250.82</v>
      </c>
      <c r="C28" s="16" t="n">
        <f aca="false">IF($B$4=0,0,B28/$B$4)</f>
        <v>0.00393856207467157</v>
      </c>
    </row>
    <row r="29" customFormat="false" ht="15" hidden="false" customHeight="false" outlineLevel="0" collapsed="false">
      <c r="A29" s="14" t="s">
        <v>49</v>
      </c>
      <c r="B29" s="15" t="n">
        <f aca="false">SUMIF(Normalized_Data!$E$2:$E$1000,A29,Normalized_Data!$V$2:$V$1000)</f>
        <v>16133.8</v>
      </c>
      <c r="C29" s="16" t="n">
        <f aca="false">IF($B$4=0,0,B29/$B$4)</f>
        <v>0.25334491986419</v>
      </c>
    </row>
    <row r="30" customFormat="false" ht="15" hidden="false" customHeight="false" outlineLevel="0" collapsed="false">
      <c r="A30" s="14" t="s">
        <v>50</v>
      </c>
      <c r="B30" s="15" t="n">
        <f aca="false">SUMIF(Normalized_Data!$E$2:$E$1000,A30,Normalized_Data!$V$2:$V$1000)</f>
        <v>3526.07</v>
      </c>
      <c r="C30" s="16" t="n">
        <f aca="false">IF($B$4=0,0,B30/$B$4)</f>
        <v>0.0553689720701586</v>
      </c>
    </row>
    <row r="31" customFormat="false" ht="15" hidden="false" customHeight="false" outlineLevel="0" collapsed="false">
      <c r="A31" s="14" t="s">
        <v>51</v>
      </c>
      <c r="B31" s="15" t="n">
        <f aca="false">SUMIF(Normalized_Data!$E$2:$E$1000,A31,Normalized_Data!$V$2:$V$1000)</f>
        <v>41538</v>
      </c>
      <c r="C31" s="16" t="n">
        <f aca="false">IF($B$4=0,0,B31/$B$4)</f>
        <v>0.65226055122282</v>
      </c>
    </row>
    <row r="32" customFormat="false" ht="15" hidden="false" customHeight="false" outlineLevel="0" collapsed="false">
      <c r="A32" s="14" t="s">
        <v>52</v>
      </c>
      <c r="B32" s="15" t="n">
        <f aca="false">SUMIF(Normalized_Data!$E$2:$E$1000,A32,Normalized_Data!$V$2:$V$1000)</f>
        <v>0</v>
      </c>
      <c r="C32" s="16" t="n">
        <f aca="false">IF($B$4=0,0,B32/$B$4)</f>
        <v>0</v>
      </c>
    </row>
    <row r="33" customFormat="false" ht="15" hidden="false" customHeight="false" outlineLevel="0" collapsed="false">
      <c r="A33" s="14" t="s">
        <v>53</v>
      </c>
      <c r="B33" s="15" t="n">
        <f aca="false">SUMIF(Normalized_Data!$E$2:$E$1000,A33,Normalized_Data!$V$2:$V$1000)</f>
        <v>0</v>
      </c>
      <c r="C33" s="16" t="n">
        <f aca="false">IF($B$4=0,0,B33/$B$4)</f>
        <v>0</v>
      </c>
    </row>
    <row r="34" customFormat="false" ht="15" hidden="false" customHeight="false" outlineLevel="0" collapsed="false">
      <c r="A34" s="14" t="s">
        <v>54</v>
      </c>
      <c r="B34" s="15" t="n">
        <f aca="false">SUMIF(Normalized_Data!$E$2:$E$1000,A34,Normalized_Data!$V$2:$V$1000)</f>
        <v>0</v>
      </c>
      <c r="C34" s="16" t="n">
        <f aca="false">IF($B$4=0,0,B34/$B$4)</f>
        <v>0</v>
      </c>
    </row>
    <row r="35" customFormat="false" ht="15" hidden="false" customHeight="false" outlineLevel="0" collapsed="false">
      <c r="A35" s="14" t="s">
        <v>55</v>
      </c>
      <c r="B35" s="15" t="n">
        <f aca="false">SUMIF(Normalized_Data!$E$2:$E$1000,A35,Normalized_Data!$V$2:$V$1000)</f>
        <v>2234.45</v>
      </c>
      <c r="C35" s="16" t="n">
        <f aca="false">IF($B$4=0,0,B35/$B$4)</f>
        <v>0.03508699476816</v>
      </c>
    </row>
    <row r="37" customFormat="false" ht="15" hidden="false" customHeight="false" outlineLevel="0" collapsed="false">
      <c r="A37" s="11" t="s">
        <v>56</v>
      </c>
      <c r="B37" s="12"/>
      <c r="C37" s="12"/>
      <c r="D37" s="12"/>
    </row>
    <row r="38" customFormat="false" ht="15" hidden="false" customHeight="false" outlineLevel="0" collapsed="false">
      <c r="A38" s="13" t="s">
        <v>57</v>
      </c>
      <c r="B38" s="13" t="s">
        <v>27</v>
      </c>
      <c r="C38" s="13" t="s">
        <v>28</v>
      </c>
    </row>
    <row r="39" customFormat="false" ht="15" hidden="false" customHeight="false" outlineLevel="0" collapsed="false">
      <c r="A39" s="14" t="s">
        <v>58</v>
      </c>
      <c r="B39" s="15" t="n">
        <f aca="false">SUMIF(Normalized_Data!$J$2:$J$1000,A39,Normalized_Data!$V$2:$V$1000)</f>
        <v>0</v>
      </c>
      <c r="C39" s="16" t="n">
        <f aca="false">IF($B$4=0,0,B39/$B$4)</f>
        <v>0</v>
      </c>
    </row>
    <row r="40" customFormat="false" ht="15" hidden="false" customHeight="false" outlineLevel="0" collapsed="false">
      <c r="A40" s="14" t="s">
        <v>30</v>
      </c>
      <c r="B40" s="15" t="n">
        <f aca="false">SUMIF(Normalized_Data!$J$2:$J$1000,A40,Normalized_Data!$V$2:$V$1000)</f>
        <v>25548.77</v>
      </c>
      <c r="C40" s="16" t="n">
        <f aca="false">IF($B$4=0,0,B40/$B$4)</f>
        <v>0.401185776957606</v>
      </c>
    </row>
    <row r="41" customFormat="false" ht="15" hidden="false" customHeight="false" outlineLevel="0" collapsed="false">
      <c r="A41" s="14" t="s">
        <v>59</v>
      </c>
      <c r="B41" s="15" t="n">
        <f aca="false">SUMIF(Normalized_Data!$J$2:$J$1000,A41,Normalized_Data!$V$2:$V$1000)</f>
        <v>0</v>
      </c>
      <c r="C41" s="16" t="n">
        <f aca="false">IF($B$4=0,0,B41/$B$4)</f>
        <v>0</v>
      </c>
    </row>
    <row r="42" customFormat="false" ht="15" hidden="false" customHeight="false" outlineLevel="0" collapsed="false">
      <c r="A42" s="14" t="s">
        <v>60</v>
      </c>
      <c r="B42" s="15" t="n">
        <f aca="false">SUMIF(Normalized_Data!$J$2:$J$1000,A42,Normalized_Data!$V$2:$V$1000)</f>
        <v>46.5</v>
      </c>
      <c r="C42" s="16" t="n">
        <f aca="false">IF($B$4=0,0,B42/$B$4)</f>
        <v>0.000730177563480695</v>
      </c>
    </row>
    <row r="43" customFormat="false" ht="15" hidden="false" customHeight="false" outlineLevel="0" collapsed="false">
      <c r="A43" s="14" t="s">
        <v>61</v>
      </c>
      <c r="B43" s="15" t="n">
        <f aca="false">SUMIF(Normalized_Data!$J$2:$J$1000,A43,Normalized_Data!$V$2:$V$1000)</f>
        <v>37447.08</v>
      </c>
      <c r="C43" s="16" t="n">
        <f aca="false">IF($B$4=0,0,B43/$B$4)</f>
        <v>0.588021884599283</v>
      </c>
    </row>
    <row r="44" customFormat="false" ht="15" hidden="false" customHeight="false" outlineLevel="0" collapsed="false">
      <c r="A44" s="14" t="s">
        <v>37</v>
      </c>
      <c r="B44" s="15" t="n">
        <f aca="false">SUMIF(Normalized_Data!$J$2:$J$1000,A44,Normalized_Data!$V$2:$V$1000)</f>
        <v>0</v>
      </c>
      <c r="C44" s="16" t="n">
        <f aca="false">IF($B$4=0,0,B44/$B$4)</f>
        <v>0</v>
      </c>
    </row>
    <row r="45" customFormat="false" ht="15" hidden="false" customHeight="false" outlineLevel="0" collapsed="false">
      <c r="A45" s="14" t="s">
        <v>36</v>
      </c>
      <c r="B45" s="15" t="n">
        <f aca="false">SUMIF(Normalized_Data!$J$2:$J$1000,A45,Normalized_Data!$V$2:$V$1000)</f>
        <v>161.74</v>
      </c>
      <c r="C45" s="16" t="n">
        <f aca="false">IF($B$4=0,0,B45/$B$4)</f>
        <v>0.00253976170144877</v>
      </c>
    </row>
    <row r="46" customFormat="false" ht="15" hidden="false" customHeight="false" outlineLevel="0" collapsed="false">
      <c r="A46" s="14" t="s">
        <v>62</v>
      </c>
      <c r="B46" s="15" t="n">
        <f aca="false">SUMIF(Normalized_Data!$J$2:$J$1000,A46,Normalized_Data!$V$2:$V$1000)</f>
        <v>479.05</v>
      </c>
      <c r="C46" s="16" t="n">
        <f aca="false">IF($B$4=0,0,B46/$B$4)</f>
        <v>0.00752239917818123</v>
      </c>
    </row>
    <row r="48" customFormat="false" ht="15" hidden="false" customHeight="false" outlineLevel="0" collapsed="false">
      <c r="A48" s="11" t="s">
        <v>63</v>
      </c>
      <c r="B48" s="12"/>
      <c r="C48" s="12"/>
      <c r="D48" s="12"/>
    </row>
    <row r="49" customFormat="false" ht="15" hidden="false" customHeight="false" outlineLevel="0" collapsed="false">
      <c r="A49" s="13" t="s">
        <v>64</v>
      </c>
      <c r="B49" s="13" t="s">
        <v>27</v>
      </c>
      <c r="C49" s="13" t="s">
        <v>28</v>
      </c>
    </row>
    <row r="50" customFormat="false" ht="15" hidden="false" customHeight="false" outlineLevel="0" collapsed="false">
      <c r="A50" s="14" t="s">
        <v>65</v>
      </c>
      <c r="B50" s="15" t="n">
        <f aca="false">SUMIF(Normalized_Data!$B$2:$B$1000,A50,Normalized_Data!$V$2:$V$1000)</f>
        <v>20134.87</v>
      </c>
      <c r="C50" s="16" t="n">
        <f aca="false">IF($B$4=0,0,B50/$B$4)</f>
        <v>0.316172695002162</v>
      </c>
    </row>
    <row r="51" customFormat="false" ht="15" hidden="false" customHeight="false" outlineLevel="0" collapsed="false">
      <c r="A51" s="14" t="s">
        <v>66</v>
      </c>
      <c r="B51" s="15" t="n">
        <f aca="false">SUMIF(Normalized_Data!$B$2:$B$1000,A51,Normalized_Data!$V$2:$V$1000)</f>
        <v>174.49</v>
      </c>
      <c r="C51" s="16" t="n">
        <f aca="false">IF($B$4=0,0,B51/$B$4)</f>
        <v>0.00273997167853218</v>
      </c>
    </row>
    <row r="52" customFormat="false" ht="15" hidden="false" customHeight="false" outlineLevel="0" collapsed="false">
      <c r="A52" s="14" t="s">
        <v>67</v>
      </c>
      <c r="B52" s="15" t="n">
        <f aca="false">SUMIF(Normalized_Data!$B$2:$B$1000,A52,Normalized_Data!$V$2:$V$1000)</f>
        <v>76.33</v>
      </c>
      <c r="C52" s="16" t="n">
        <f aca="false">IF($B$4=0,0,B52/$B$4)</f>
        <v>0.00119859039613939</v>
      </c>
    </row>
    <row r="53" customFormat="false" ht="15" hidden="false" customHeight="false" outlineLevel="0" collapsed="false">
      <c r="A53" s="14" t="s">
        <v>68</v>
      </c>
      <c r="B53" s="15" t="n">
        <f aca="false">SUMIF(Normalized_Data!$B$2:$B$1000,A53,Normalized_Data!$V$2:$V$1000)</f>
        <v>41538</v>
      </c>
      <c r="C53" s="16" t="n">
        <f aca="false">IF($B$4=0,0,B53/$B$4)</f>
        <v>0.65226055122282</v>
      </c>
    </row>
    <row r="54" customFormat="false" ht="15" hidden="false" customHeight="false" outlineLevel="0" collapsed="false">
      <c r="A54" s="14" t="s">
        <v>69</v>
      </c>
      <c r="B54" s="15" t="n">
        <f aca="false">SUMIF(Normalized_Data!$B$2:$B$1000,A54,Normalized_Data!$V$2:$V$1000)</f>
        <v>459.45</v>
      </c>
      <c r="C54" s="16" t="n">
        <f aca="false">IF($B$4=0,0,B54/$B$4)</f>
        <v>0.00721462540948829</v>
      </c>
    </row>
    <row r="55" customFormat="false" ht="15" hidden="false" customHeight="false" outlineLevel="0" collapsed="false">
      <c r="A55" s="14" t="s">
        <v>70</v>
      </c>
      <c r="B55" s="15" t="n">
        <f aca="false">SUMIF(Normalized_Data!$B$2:$B$1000,A55,Normalized_Data!$V$2:$V$1000)</f>
        <v>1140</v>
      </c>
      <c r="C55" s="16" t="n">
        <f aca="false">IF($B$4=0,0,B55/$B$4)</f>
        <v>0.0179011273627525</v>
      </c>
    </row>
    <row r="56" customFormat="false" ht="15" hidden="false" customHeight="false" outlineLevel="0" collapsed="false">
      <c r="A56" s="14" t="s">
        <v>71</v>
      </c>
      <c r="B56" s="15" t="n">
        <f aca="false">SUMIF(Normalized_Data!$B$2:$B$1000,A56,Normalized_Data!$V$2:$V$1000)</f>
        <v>160</v>
      </c>
      <c r="C56" s="16" t="n">
        <f aca="false">IF($B$4=0,0,B56/$B$4)</f>
        <v>0.00251243892810562</v>
      </c>
    </row>
    <row r="58" customFormat="false" ht="15" hidden="false" customHeight="false" outlineLevel="0" collapsed="false">
      <c r="A58" s="11" t="s">
        <v>72</v>
      </c>
      <c r="B58" s="12"/>
      <c r="C58" s="12"/>
      <c r="D58" s="12"/>
    </row>
    <row r="59" customFormat="false" ht="23.85" hidden="false" customHeight="false" outlineLevel="0" collapsed="false">
      <c r="A59" s="13" t="s">
        <v>73</v>
      </c>
      <c r="B59" s="17" t="s">
        <v>48</v>
      </c>
      <c r="C59" s="17" t="s">
        <v>49</v>
      </c>
      <c r="D59" s="17" t="s">
        <v>50</v>
      </c>
      <c r="E59" s="17" t="s">
        <v>51</v>
      </c>
      <c r="F59" s="17" t="s">
        <v>52</v>
      </c>
      <c r="G59" s="17" t="s">
        <v>53</v>
      </c>
      <c r="H59" s="17" t="s">
        <v>54</v>
      </c>
      <c r="I59" s="17" t="s">
        <v>55</v>
      </c>
      <c r="J59" s="13" t="s">
        <v>74</v>
      </c>
    </row>
    <row r="60" customFormat="false" ht="15" hidden="false" customHeight="false" outlineLevel="0" collapsed="false">
      <c r="A60" s="14" t="s">
        <v>29</v>
      </c>
      <c r="B60" s="15" t="n">
        <f aca="false">SUMIFS(Normalized_Data!$V$2:$V$1000,Normalized_Data!$D$2:$D$1000,$A60,Normalized_Data!$E$2:$E$1000,B$59)</f>
        <v>194.02</v>
      </c>
      <c r="C60" s="15" t="n">
        <f aca="false">SUMIFS(Normalized_Data!$V$2:$V$1000,Normalized_Data!$D$2:$D$1000,$A60,Normalized_Data!$E$2:$E$1000,C$59)</f>
        <v>15611.1</v>
      </c>
      <c r="D60" s="15" t="n">
        <f aca="false">SUMIFS(Normalized_Data!$V$2:$V$1000,Normalized_Data!$D$2:$D$1000,$A60,Normalized_Data!$E$2:$E$1000,D$59)</f>
        <v>0</v>
      </c>
      <c r="E60" s="15" t="n">
        <f aca="false">SUMIFS(Normalized_Data!$V$2:$V$1000,Normalized_Data!$D$2:$D$1000,$A60,Normalized_Data!$E$2:$E$1000,E$59)</f>
        <v>0</v>
      </c>
      <c r="F60" s="15" t="n">
        <f aca="false">SUMIFS(Normalized_Data!$V$2:$V$1000,Normalized_Data!$D$2:$D$1000,$A60,Normalized_Data!$E$2:$E$1000,F$59)</f>
        <v>0</v>
      </c>
      <c r="G60" s="15" t="n">
        <f aca="false">SUMIFS(Normalized_Data!$V$2:$V$1000,Normalized_Data!$D$2:$D$1000,$A60,Normalized_Data!$E$2:$E$1000,G$59)</f>
        <v>0</v>
      </c>
      <c r="H60" s="15" t="n">
        <f aca="false">SUMIFS(Normalized_Data!$V$2:$V$1000,Normalized_Data!$D$2:$D$1000,$A60,Normalized_Data!$E$2:$E$1000,H$59)</f>
        <v>0</v>
      </c>
      <c r="I60" s="15" t="n">
        <f aca="false">SUMIFS(Normalized_Data!$V$2:$V$1000,Normalized_Data!$D$2:$D$1000,$A60,Normalized_Data!$E$2:$E$1000,I$59)</f>
        <v>0</v>
      </c>
      <c r="J60" s="18" t="n">
        <f aca="false">SUM(B60:I60)</f>
        <v>15805.12</v>
      </c>
    </row>
    <row r="61" customFormat="false" ht="15" hidden="false" customHeight="false" outlineLevel="0" collapsed="false">
      <c r="A61" s="14" t="s">
        <v>30</v>
      </c>
      <c r="B61" s="15" t="n">
        <f aca="false">SUMIFS(Normalized_Data!$V$2:$V$1000,Normalized_Data!$D$2:$D$1000,$A61,Normalized_Data!$E$2:$E$1000,B$59)</f>
        <v>0</v>
      </c>
      <c r="C61" s="15" t="n">
        <f aca="false">SUMIFS(Normalized_Data!$V$2:$V$1000,Normalized_Data!$D$2:$D$1000,$A61,Normalized_Data!$E$2:$E$1000,C$59)</f>
        <v>0</v>
      </c>
      <c r="D61" s="15" t="n">
        <f aca="false">SUMIFS(Normalized_Data!$V$2:$V$1000,Normalized_Data!$D$2:$D$1000,$A61,Normalized_Data!$E$2:$E$1000,D$59)</f>
        <v>1356.77</v>
      </c>
      <c r="E61" s="15" t="n">
        <f aca="false">SUMIFS(Normalized_Data!$V$2:$V$1000,Normalized_Data!$D$2:$D$1000,$A61,Normalized_Data!$E$2:$E$1000,E$59)</f>
        <v>0</v>
      </c>
      <c r="F61" s="15" t="n">
        <f aca="false">SUMIFS(Normalized_Data!$V$2:$V$1000,Normalized_Data!$D$2:$D$1000,$A61,Normalized_Data!$E$2:$E$1000,F$59)</f>
        <v>0</v>
      </c>
      <c r="G61" s="15" t="n">
        <f aca="false">SUMIFS(Normalized_Data!$V$2:$V$1000,Normalized_Data!$D$2:$D$1000,$A61,Normalized_Data!$E$2:$E$1000,G$59)</f>
        <v>0</v>
      </c>
      <c r="H61" s="15" t="n">
        <f aca="false">SUMIFS(Normalized_Data!$V$2:$V$1000,Normalized_Data!$D$2:$D$1000,$A61,Normalized_Data!$E$2:$E$1000,H$59)</f>
        <v>0</v>
      </c>
      <c r="I61" s="15" t="n">
        <f aca="false">SUMIFS(Normalized_Data!$V$2:$V$1000,Normalized_Data!$D$2:$D$1000,$A61,Normalized_Data!$E$2:$E$1000,I$59)</f>
        <v>0</v>
      </c>
      <c r="J61" s="18" t="n">
        <f aca="false">SUM(B61:I61)</f>
        <v>1356.77</v>
      </c>
    </row>
    <row r="62" customFormat="false" ht="15" hidden="false" customHeight="false" outlineLevel="0" collapsed="false">
      <c r="A62" s="14" t="s">
        <v>31</v>
      </c>
      <c r="B62" s="15" t="n">
        <f aca="false">SUMIFS(Normalized_Data!$V$2:$V$1000,Normalized_Data!$D$2:$D$1000,$A62,Normalized_Data!$E$2:$E$1000,B$59)</f>
        <v>0</v>
      </c>
      <c r="C62" s="15" t="n">
        <f aca="false">SUMIFS(Normalized_Data!$V$2:$V$1000,Normalized_Data!$D$2:$D$1000,$A62,Normalized_Data!$E$2:$E$1000,C$59)</f>
        <v>0</v>
      </c>
      <c r="D62" s="15" t="n">
        <f aca="false">SUMIFS(Normalized_Data!$V$2:$V$1000,Normalized_Data!$D$2:$D$1000,$A62,Normalized_Data!$E$2:$E$1000,D$59)</f>
        <v>2169.3</v>
      </c>
      <c r="E62" s="15" t="n">
        <f aca="false">SUMIFS(Normalized_Data!$V$2:$V$1000,Normalized_Data!$D$2:$D$1000,$A62,Normalized_Data!$E$2:$E$1000,E$59)</f>
        <v>41328</v>
      </c>
      <c r="F62" s="15" t="n">
        <f aca="false">SUMIFS(Normalized_Data!$V$2:$V$1000,Normalized_Data!$D$2:$D$1000,$A62,Normalized_Data!$E$2:$E$1000,F$59)</f>
        <v>0</v>
      </c>
      <c r="G62" s="15" t="n">
        <f aca="false">SUMIFS(Normalized_Data!$V$2:$V$1000,Normalized_Data!$D$2:$D$1000,$A62,Normalized_Data!$E$2:$E$1000,G$59)</f>
        <v>0</v>
      </c>
      <c r="H62" s="15" t="n">
        <f aca="false">SUMIFS(Normalized_Data!$V$2:$V$1000,Normalized_Data!$D$2:$D$1000,$A62,Normalized_Data!$E$2:$E$1000,H$59)</f>
        <v>0</v>
      </c>
      <c r="I62" s="15" t="n">
        <f aca="false">SUMIFS(Normalized_Data!$V$2:$V$1000,Normalized_Data!$D$2:$D$1000,$A62,Normalized_Data!$E$2:$E$1000,I$59)</f>
        <v>0</v>
      </c>
      <c r="J62" s="18" t="n">
        <f aca="false">SUM(B62:I62)</f>
        <v>43497.3</v>
      </c>
    </row>
    <row r="63" customFormat="false" ht="15" hidden="false" customHeight="false" outlineLevel="0" collapsed="false">
      <c r="A63" s="14" t="s">
        <v>32</v>
      </c>
      <c r="B63" s="15" t="n">
        <f aca="false">SUMIFS(Normalized_Data!$V$2:$V$1000,Normalized_Data!$D$2:$D$1000,$A63,Normalized_Data!$E$2:$E$1000,B$59)</f>
        <v>0</v>
      </c>
      <c r="C63" s="15" t="n">
        <f aca="false">SUMIFS(Normalized_Data!$V$2:$V$1000,Normalized_Data!$D$2:$D$1000,$A63,Normalized_Data!$E$2:$E$1000,C$59)</f>
        <v>94.3</v>
      </c>
      <c r="D63" s="15" t="n">
        <f aca="false">SUMIFS(Normalized_Data!$V$2:$V$1000,Normalized_Data!$D$2:$D$1000,$A63,Normalized_Data!$E$2:$E$1000,D$59)</f>
        <v>0</v>
      </c>
      <c r="E63" s="15" t="n">
        <f aca="false">SUMIFS(Normalized_Data!$V$2:$V$1000,Normalized_Data!$D$2:$D$1000,$A63,Normalized_Data!$E$2:$E$1000,E$59)</f>
        <v>210</v>
      </c>
      <c r="F63" s="15" t="n">
        <f aca="false">SUMIFS(Normalized_Data!$V$2:$V$1000,Normalized_Data!$D$2:$D$1000,$A63,Normalized_Data!$E$2:$E$1000,F$59)</f>
        <v>0</v>
      </c>
      <c r="G63" s="15" t="n">
        <f aca="false">SUMIFS(Normalized_Data!$V$2:$V$1000,Normalized_Data!$D$2:$D$1000,$A63,Normalized_Data!$E$2:$E$1000,G$59)</f>
        <v>0</v>
      </c>
      <c r="H63" s="15" t="n">
        <f aca="false">SUMIFS(Normalized_Data!$V$2:$V$1000,Normalized_Data!$D$2:$D$1000,$A63,Normalized_Data!$E$2:$E$1000,H$59)</f>
        <v>0</v>
      </c>
      <c r="I63" s="15" t="n">
        <f aca="false">SUMIFS(Normalized_Data!$V$2:$V$1000,Normalized_Data!$D$2:$D$1000,$A63,Normalized_Data!$E$2:$E$1000,I$59)</f>
        <v>54.45</v>
      </c>
      <c r="J63" s="18" t="n">
        <f aca="false">SUM(B63:I63)</f>
        <v>358.75</v>
      </c>
    </row>
    <row r="64" customFormat="false" ht="15" hidden="false" customHeight="false" outlineLevel="0" collapsed="false">
      <c r="A64" s="14" t="s">
        <v>33</v>
      </c>
      <c r="B64" s="15" t="n">
        <f aca="false">SUMIFS(Normalized_Data!$V$2:$V$1000,Normalized_Data!$D$2:$D$1000,$A64,Normalized_Data!$E$2:$E$1000,B$59)</f>
        <v>0</v>
      </c>
      <c r="C64" s="15" t="n">
        <f aca="false">SUMIFS(Normalized_Data!$V$2:$V$1000,Normalized_Data!$D$2:$D$1000,$A64,Normalized_Data!$E$2:$E$1000,C$59)</f>
        <v>82.8</v>
      </c>
      <c r="D64" s="15" t="n">
        <f aca="false">SUMIFS(Normalized_Data!$V$2:$V$1000,Normalized_Data!$D$2:$D$1000,$A64,Normalized_Data!$E$2:$E$1000,D$59)</f>
        <v>0</v>
      </c>
      <c r="E64" s="15" t="n">
        <f aca="false">SUMIFS(Normalized_Data!$V$2:$V$1000,Normalized_Data!$D$2:$D$1000,$A64,Normalized_Data!$E$2:$E$1000,E$59)</f>
        <v>0</v>
      </c>
      <c r="F64" s="15" t="n">
        <f aca="false">SUMIFS(Normalized_Data!$V$2:$V$1000,Normalized_Data!$D$2:$D$1000,$A64,Normalized_Data!$E$2:$E$1000,F$59)</f>
        <v>0</v>
      </c>
      <c r="G64" s="15" t="n">
        <f aca="false">SUMIFS(Normalized_Data!$V$2:$V$1000,Normalized_Data!$D$2:$D$1000,$A64,Normalized_Data!$E$2:$E$1000,G$59)</f>
        <v>0</v>
      </c>
      <c r="H64" s="15" t="n">
        <f aca="false">SUMIFS(Normalized_Data!$V$2:$V$1000,Normalized_Data!$D$2:$D$1000,$A64,Normalized_Data!$E$2:$E$1000,H$59)</f>
        <v>0</v>
      </c>
      <c r="I64" s="15" t="n">
        <f aca="false">SUMIFS(Normalized_Data!$V$2:$V$1000,Normalized_Data!$D$2:$D$1000,$A64,Normalized_Data!$E$2:$E$1000,I$59)</f>
        <v>0</v>
      </c>
      <c r="J64" s="18" t="n">
        <f aca="false">SUM(B64:I64)</f>
        <v>82.8</v>
      </c>
    </row>
    <row r="65" customFormat="false" ht="15" hidden="false" customHeight="false" outlineLevel="0" collapsed="false">
      <c r="A65" s="14" t="s">
        <v>34</v>
      </c>
      <c r="B65" s="15" t="n">
        <f aca="false">SUMIFS(Normalized_Data!$V$2:$V$1000,Normalized_Data!$D$2:$D$1000,$A65,Normalized_Data!$E$2:$E$1000,B$59)</f>
        <v>32</v>
      </c>
      <c r="C65" s="15" t="n">
        <f aca="false">SUMIFS(Normalized_Data!$V$2:$V$1000,Normalized_Data!$D$2:$D$1000,$A65,Normalized_Data!$E$2:$E$1000,C$59)</f>
        <v>345.6</v>
      </c>
      <c r="D65" s="15" t="n">
        <f aca="false">SUMIFS(Normalized_Data!$V$2:$V$1000,Normalized_Data!$D$2:$D$1000,$A65,Normalized_Data!$E$2:$E$1000,D$59)</f>
        <v>0</v>
      </c>
      <c r="E65" s="15" t="n">
        <f aca="false">SUMIFS(Normalized_Data!$V$2:$V$1000,Normalized_Data!$D$2:$D$1000,$A65,Normalized_Data!$E$2:$E$1000,E$59)</f>
        <v>0</v>
      </c>
      <c r="F65" s="15" t="n">
        <f aca="false">SUMIFS(Normalized_Data!$V$2:$V$1000,Normalized_Data!$D$2:$D$1000,$A65,Normalized_Data!$E$2:$E$1000,F$59)</f>
        <v>0</v>
      </c>
      <c r="G65" s="15" t="n">
        <f aca="false">SUMIFS(Normalized_Data!$V$2:$V$1000,Normalized_Data!$D$2:$D$1000,$A65,Normalized_Data!$E$2:$E$1000,G$59)</f>
        <v>0</v>
      </c>
      <c r="H65" s="15" t="n">
        <f aca="false">SUMIFS(Normalized_Data!$V$2:$V$1000,Normalized_Data!$D$2:$D$1000,$A65,Normalized_Data!$E$2:$E$1000,H$59)</f>
        <v>0</v>
      </c>
      <c r="I65" s="15" t="n">
        <f aca="false">SUMIFS(Normalized_Data!$V$2:$V$1000,Normalized_Data!$D$2:$D$1000,$A65,Normalized_Data!$E$2:$E$1000,I$59)</f>
        <v>405</v>
      </c>
      <c r="J65" s="18" t="n">
        <f aca="false">SUM(B65:I65)</f>
        <v>782.6</v>
      </c>
    </row>
    <row r="66" customFormat="false" ht="15" hidden="false" customHeight="false" outlineLevel="0" collapsed="false">
      <c r="A66" s="14" t="s">
        <v>35</v>
      </c>
      <c r="B66" s="15" t="n">
        <f aca="false">SUMIFS(Normalized_Data!$V$2:$V$1000,Normalized_Data!$D$2:$D$1000,$A66,Normalized_Data!$E$2:$E$1000,B$59)</f>
        <v>24.8</v>
      </c>
      <c r="C66" s="15" t="n">
        <f aca="false">SUMIFS(Normalized_Data!$V$2:$V$1000,Normalized_Data!$D$2:$D$1000,$A66,Normalized_Data!$E$2:$E$1000,C$59)</f>
        <v>0</v>
      </c>
      <c r="D66" s="15" t="n">
        <f aca="false">SUMIFS(Normalized_Data!$V$2:$V$1000,Normalized_Data!$D$2:$D$1000,$A66,Normalized_Data!$E$2:$E$1000,D$59)</f>
        <v>0</v>
      </c>
      <c r="E66" s="15" t="n">
        <f aca="false">SUMIFS(Normalized_Data!$V$2:$V$1000,Normalized_Data!$D$2:$D$1000,$A66,Normalized_Data!$E$2:$E$1000,E$59)</f>
        <v>0</v>
      </c>
      <c r="F66" s="15" t="n">
        <f aca="false">SUMIFS(Normalized_Data!$V$2:$V$1000,Normalized_Data!$D$2:$D$1000,$A66,Normalized_Data!$E$2:$E$1000,F$59)</f>
        <v>0</v>
      </c>
      <c r="G66" s="15" t="n">
        <f aca="false">SUMIFS(Normalized_Data!$V$2:$V$1000,Normalized_Data!$D$2:$D$1000,$A66,Normalized_Data!$E$2:$E$1000,G$59)</f>
        <v>0</v>
      </c>
      <c r="H66" s="15" t="n">
        <f aca="false">SUMIFS(Normalized_Data!$V$2:$V$1000,Normalized_Data!$D$2:$D$1000,$A66,Normalized_Data!$E$2:$E$1000,H$59)</f>
        <v>0</v>
      </c>
      <c r="I66" s="15" t="n">
        <f aca="false">SUMIFS(Normalized_Data!$V$2:$V$1000,Normalized_Data!$D$2:$D$1000,$A66,Normalized_Data!$E$2:$E$1000,I$59)</f>
        <v>0</v>
      </c>
      <c r="J66" s="18" t="n">
        <f aca="false">SUM(B66:I66)</f>
        <v>24.8</v>
      </c>
    </row>
    <row r="67" customFormat="false" ht="15" hidden="false" customHeight="false" outlineLevel="0" collapsed="false">
      <c r="A67" s="14" t="s">
        <v>36</v>
      </c>
      <c r="B67" s="15" t="n">
        <f aca="false">SUMIFS(Normalized_Data!$V$2:$V$1000,Normalized_Data!$D$2:$D$1000,$A67,Normalized_Data!$E$2:$E$1000,B$59)</f>
        <v>0</v>
      </c>
      <c r="C67" s="15" t="n">
        <f aca="false">SUMIFS(Normalized_Data!$V$2:$V$1000,Normalized_Data!$D$2:$D$1000,$A67,Normalized_Data!$E$2:$E$1000,C$59)</f>
        <v>0</v>
      </c>
      <c r="D67" s="15" t="n">
        <f aca="false">SUMIFS(Normalized_Data!$V$2:$V$1000,Normalized_Data!$D$2:$D$1000,$A67,Normalized_Data!$E$2:$E$1000,D$59)</f>
        <v>0</v>
      </c>
      <c r="E67" s="15" t="n">
        <f aca="false">SUMIFS(Normalized_Data!$V$2:$V$1000,Normalized_Data!$D$2:$D$1000,$A67,Normalized_Data!$E$2:$E$1000,E$59)</f>
        <v>0</v>
      </c>
      <c r="F67" s="15" t="n">
        <f aca="false">SUMIFS(Normalized_Data!$V$2:$V$1000,Normalized_Data!$D$2:$D$1000,$A67,Normalized_Data!$E$2:$E$1000,F$59)</f>
        <v>0</v>
      </c>
      <c r="G67" s="15" t="n">
        <f aca="false">SUMIFS(Normalized_Data!$V$2:$V$1000,Normalized_Data!$D$2:$D$1000,$A67,Normalized_Data!$E$2:$E$1000,G$59)</f>
        <v>0</v>
      </c>
      <c r="H67" s="15" t="n">
        <f aca="false">SUMIFS(Normalized_Data!$V$2:$V$1000,Normalized_Data!$D$2:$D$1000,$A67,Normalized_Data!$E$2:$E$1000,H$59)</f>
        <v>0</v>
      </c>
      <c r="I67" s="15" t="n">
        <f aca="false">SUMIFS(Normalized_Data!$V$2:$V$1000,Normalized_Data!$D$2:$D$1000,$A67,Normalized_Data!$E$2:$E$1000,I$59)</f>
        <v>0</v>
      </c>
      <c r="J67" s="18" t="n">
        <f aca="false">SUM(B67:I67)</f>
        <v>0</v>
      </c>
    </row>
    <row r="68" customFormat="false" ht="15" hidden="false" customHeight="false" outlineLevel="0" collapsed="false">
      <c r="A68" s="14" t="s">
        <v>37</v>
      </c>
      <c r="B68" s="15" t="n">
        <f aca="false">SUMIFS(Normalized_Data!$V$2:$V$1000,Normalized_Data!$D$2:$D$1000,$A68,Normalized_Data!$E$2:$E$1000,B$59)</f>
        <v>0</v>
      </c>
      <c r="C68" s="15" t="n">
        <f aca="false">SUMIFS(Normalized_Data!$V$2:$V$1000,Normalized_Data!$D$2:$D$1000,$A68,Normalized_Data!$E$2:$E$1000,C$59)</f>
        <v>0</v>
      </c>
      <c r="D68" s="15" t="n">
        <f aca="false">SUMIFS(Normalized_Data!$V$2:$V$1000,Normalized_Data!$D$2:$D$1000,$A68,Normalized_Data!$E$2:$E$1000,D$59)</f>
        <v>0</v>
      </c>
      <c r="E68" s="15" t="n">
        <f aca="false">SUMIFS(Normalized_Data!$V$2:$V$1000,Normalized_Data!$D$2:$D$1000,$A68,Normalized_Data!$E$2:$E$1000,E$59)</f>
        <v>0</v>
      </c>
      <c r="F68" s="15" t="n">
        <f aca="false">SUMIFS(Normalized_Data!$V$2:$V$1000,Normalized_Data!$D$2:$D$1000,$A68,Normalized_Data!$E$2:$E$1000,F$59)</f>
        <v>0</v>
      </c>
      <c r="G68" s="15" t="n">
        <f aca="false">SUMIFS(Normalized_Data!$V$2:$V$1000,Normalized_Data!$D$2:$D$1000,$A68,Normalized_Data!$E$2:$E$1000,G$59)</f>
        <v>0</v>
      </c>
      <c r="H68" s="15" t="n">
        <f aca="false">SUMIFS(Normalized_Data!$V$2:$V$1000,Normalized_Data!$D$2:$D$1000,$A68,Normalized_Data!$E$2:$E$1000,H$59)</f>
        <v>0</v>
      </c>
      <c r="I68" s="15" t="n">
        <f aca="false">SUMIFS(Normalized_Data!$V$2:$V$1000,Normalized_Data!$D$2:$D$1000,$A68,Normalized_Data!$E$2:$E$1000,I$59)</f>
        <v>0</v>
      </c>
      <c r="J68" s="18" t="n">
        <f aca="false">SUM(B68:I68)</f>
        <v>0</v>
      </c>
    </row>
    <row r="69" customFormat="false" ht="15" hidden="false" customHeight="false" outlineLevel="0" collapsed="false">
      <c r="A69" s="14" t="s">
        <v>38</v>
      </c>
      <c r="B69" s="15" t="n">
        <f aca="false">SUMIFS(Normalized_Data!$V$2:$V$1000,Normalized_Data!$D$2:$D$1000,$A69,Normalized_Data!$E$2:$E$1000,B$59)</f>
        <v>0</v>
      </c>
      <c r="C69" s="15" t="n">
        <f aca="false">SUMIFS(Normalized_Data!$V$2:$V$1000,Normalized_Data!$D$2:$D$1000,$A69,Normalized_Data!$E$2:$E$1000,C$59)</f>
        <v>0</v>
      </c>
      <c r="D69" s="15" t="n">
        <f aca="false">SUMIFS(Normalized_Data!$V$2:$V$1000,Normalized_Data!$D$2:$D$1000,$A69,Normalized_Data!$E$2:$E$1000,D$59)</f>
        <v>0</v>
      </c>
      <c r="E69" s="15" t="n">
        <f aca="false">SUMIFS(Normalized_Data!$V$2:$V$1000,Normalized_Data!$D$2:$D$1000,$A69,Normalized_Data!$E$2:$E$1000,E$59)</f>
        <v>0</v>
      </c>
      <c r="F69" s="15" t="n">
        <f aca="false">SUMIFS(Normalized_Data!$V$2:$V$1000,Normalized_Data!$D$2:$D$1000,$A69,Normalized_Data!$E$2:$E$1000,F$59)</f>
        <v>0</v>
      </c>
      <c r="G69" s="15" t="n">
        <f aca="false">SUMIFS(Normalized_Data!$V$2:$V$1000,Normalized_Data!$D$2:$D$1000,$A69,Normalized_Data!$E$2:$E$1000,G$59)</f>
        <v>0</v>
      </c>
      <c r="H69" s="15" t="n">
        <f aca="false">SUMIFS(Normalized_Data!$V$2:$V$1000,Normalized_Data!$D$2:$D$1000,$A69,Normalized_Data!$E$2:$E$1000,H$59)</f>
        <v>0</v>
      </c>
      <c r="I69" s="15" t="n">
        <f aca="false">SUMIFS(Normalized_Data!$V$2:$V$1000,Normalized_Data!$D$2:$D$1000,$A69,Normalized_Data!$E$2:$E$1000,I$59)</f>
        <v>0</v>
      </c>
      <c r="J69" s="18" t="n">
        <f aca="false">SUM(B69:I69)</f>
        <v>0</v>
      </c>
    </row>
    <row r="70" customFormat="false" ht="15" hidden="false" customHeight="false" outlineLevel="0" collapsed="false">
      <c r="A70" s="14" t="s">
        <v>39</v>
      </c>
      <c r="B70" s="15" t="n">
        <f aca="false">SUMIFS(Normalized_Data!$V$2:$V$1000,Normalized_Data!$D$2:$D$1000,$A70,Normalized_Data!$E$2:$E$1000,B$59)</f>
        <v>0</v>
      </c>
      <c r="C70" s="15" t="n">
        <f aca="false">SUMIFS(Normalized_Data!$V$2:$V$1000,Normalized_Data!$D$2:$D$1000,$A70,Normalized_Data!$E$2:$E$1000,C$59)</f>
        <v>0</v>
      </c>
      <c r="D70" s="15" t="n">
        <f aca="false">SUMIFS(Normalized_Data!$V$2:$V$1000,Normalized_Data!$D$2:$D$1000,$A70,Normalized_Data!$E$2:$E$1000,D$59)</f>
        <v>0</v>
      </c>
      <c r="E70" s="15" t="n">
        <f aca="false">SUMIFS(Normalized_Data!$V$2:$V$1000,Normalized_Data!$D$2:$D$1000,$A70,Normalized_Data!$E$2:$E$1000,E$59)</f>
        <v>0</v>
      </c>
      <c r="F70" s="15" t="n">
        <f aca="false">SUMIFS(Normalized_Data!$V$2:$V$1000,Normalized_Data!$D$2:$D$1000,$A70,Normalized_Data!$E$2:$E$1000,F$59)</f>
        <v>0</v>
      </c>
      <c r="G70" s="15" t="n">
        <f aca="false">SUMIFS(Normalized_Data!$V$2:$V$1000,Normalized_Data!$D$2:$D$1000,$A70,Normalized_Data!$E$2:$E$1000,G$59)</f>
        <v>0</v>
      </c>
      <c r="H70" s="15" t="n">
        <f aca="false">SUMIFS(Normalized_Data!$V$2:$V$1000,Normalized_Data!$D$2:$D$1000,$A70,Normalized_Data!$E$2:$E$1000,H$59)</f>
        <v>0</v>
      </c>
      <c r="I70" s="15" t="n">
        <f aca="false">SUMIFS(Normalized_Data!$V$2:$V$1000,Normalized_Data!$D$2:$D$1000,$A70,Normalized_Data!$E$2:$E$1000,I$59)</f>
        <v>0</v>
      </c>
      <c r="J70" s="18" t="n">
        <f aca="false">SUM(B70:I70)</f>
        <v>0</v>
      </c>
    </row>
    <row r="71" customFormat="false" ht="15" hidden="false" customHeight="false" outlineLevel="0" collapsed="false">
      <c r="A71" s="14" t="s">
        <v>40</v>
      </c>
      <c r="B71" s="15" t="n">
        <f aca="false">SUMIFS(Normalized_Data!$V$2:$V$1000,Normalized_Data!$D$2:$D$1000,$A71,Normalized_Data!$E$2:$E$1000,B$59)</f>
        <v>0</v>
      </c>
      <c r="C71" s="15" t="n">
        <f aca="false">SUMIFS(Normalized_Data!$V$2:$V$1000,Normalized_Data!$D$2:$D$1000,$A71,Normalized_Data!$E$2:$E$1000,C$59)</f>
        <v>0</v>
      </c>
      <c r="D71" s="15" t="n">
        <f aca="false">SUMIFS(Normalized_Data!$V$2:$V$1000,Normalized_Data!$D$2:$D$1000,$A71,Normalized_Data!$E$2:$E$1000,D$59)</f>
        <v>0</v>
      </c>
      <c r="E71" s="15" t="n">
        <f aca="false">SUMIFS(Normalized_Data!$V$2:$V$1000,Normalized_Data!$D$2:$D$1000,$A71,Normalized_Data!$E$2:$E$1000,E$59)</f>
        <v>0</v>
      </c>
      <c r="F71" s="15" t="n">
        <f aca="false">SUMIFS(Normalized_Data!$V$2:$V$1000,Normalized_Data!$D$2:$D$1000,$A71,Normalized_Data!$E$2:$E$1000,F$59)</f>
        <v>0</v>
      </c>
      <c r="G71" s="15" t="n">
        <f aca="false">SUMIFS(Normalized_Data!$V$2:$V$1000,Normalized_Data!$D$2:$D$1000,$A71,Normalized_Data!$E$2:$E$1000,G$59)</f>
        <v>0</v>
      </c>
      <c r="H71" s="15" t="n">
        <f aca="false">SUMIFS(Normalized_Data!$V$2:$V$1000,Normalized_Data!$D$2:$D$1000,$A71,Normalized_Data!$E$2:$E$1000,H$59)</f>
        <v>0</v>
      </c>
      <c r="I71" s="15" t="n">
        <f aca="false">SUMIFS(Normalized_Data!$V$2:$V$1000,Normalized_Data!$D$2:$D$1000,$A71,Normalized_Data!$E$2:$E$1000,I$59)</f>
        <v>1775</v>
      </c>
      <c r="J71" s="18" t="n">
        <f aca="false">SUM(B71:I71)</f>
        <v>1775</v>
      </c>
    </row>
    <row r="72" customFormat="false" ht="15" hidden="false" customHeight="false" outlineLevel="0" collapsed="false">
      <c r="A72" s="14" t="s">
        <v>41</v>
      </c>
      <c r="B72" s="15" t="n">
        <f aca="false">SUMIFS(Normalized_Data!$V$2:$V$1000,Normalized_Data!$D$2:$D$1000,$A72,Normalized_Data!$E$2:$E$1000,B$59)</f>
        <v>0</v>
      </c>
      <c r="C72" s="15" t="n">
        <f aca="false">SUMIFS(Normalized_Data!$V$2:$V$1000,Normalized_Data!$D$2:$D$1000,$A72,Normalized_Data!$E$2:$E$1000,C$59)</f>
        <v>0</v>
      </c>
      <c r="D72" s="15" t="n">
        <f aca="false">SUMIFS(Normalized_Data!$V$2:$V$1000,Normalized_Data!$D$2:$D$1000,$A72,Normalized_Data!$E$2:$E$1000,D$59)</f>
        <v>0</v>
      </c>
      <c r="E72" s="15" t="n">
        <f aca="false">SUMIFS(Normalized_Data!$V$2:$V$1000,Normalized_Data!$D$2:$D$1000,$A72,Normalized_Data!$E$2:$E$1000,E$59)</f>
        <v>0</v>
      </c>
      <c r="F72" s="15" t="n">
        <f aca="false">SUMIFS(Normalized_Data!$V$2:$V$1000,Normalized_Data!$D$2:$D$1000,$A72,Normalized_Data!$E$2:$E$1000,F$59)</f>
        <v>0</v>
      </c>
      <c r="G72" s="15" t="n">
        <f aca="false">SUMIFS(Normalized_Data!$V$2:$V$1000,Normalized_Data!$D$2:$D$1000,$A72,Normalized_Data!$E$2:$E$1000,G$59)</f>
        <v>0</v>
      </c>
      <c r="H72" s="15" t="n">
        <f aca="false">SUMIFS(Normalized_Data!$V$2:$V$1000,Normalized_Data!$D$2:$D$1000,$A72,Normalized_Data!$E$2:$E$1000,H$59)</f>
        <v>0</v>
      </c>
      <c r="I72" s="15" t="n">
        <f aca="false">SUMIFS(Normalized_Data!$V$2:$V$1000,Normalized_Data!$D$2:$D$1000,$A72,Normalized_Data!$E$2:$E$1000,I$59)</f>
        <v>0</v>
      </c>
      <c r="J72" s="18" t="n">
        <f aca="false">SUM(B72:I72)</f>
        <v>0</v>
      </c>
    </row>
    <row r="73" customFormat="false" ht="15" hidden="false" customHeight="false" outlineLevel="0" collapsed="false">
      <c r="A73" s="14" t="s">
        <v>42</v>
      </c>
      <c r="B73" s="15" t="n">
        <f aca="false">SUMIFS(Normalized_Data!$V$2:$V$1000,Normalized_Data!$D$2:$D$1000,$A73,Normalized_Data!$E$2:$E$1000,B$59)</f>
        <v>0</v>
      </c>
      <c r="C73" s="15" t="n">
        <f aca="false">SUMIFS(Normalized_Data!$V$2:$V$1000,Normalized_Data!$D$2:$D$1000,$A73,Normalized_Data!$E$2:$E$1000,C$59)</f>
        <v>0</v>
      </c>
      <c r="D73" s="15" t="n">
        <f aca="false">SUMIFS(Normalized_Data!$V$2:$V$1000,Normalized_Data!$D$2:$D$1000,$A73,Normalized_Data!$E$2:$E$1000,D$59)</f>
        <v>0</v>
      </c>
      <c r="E73" s="15" t="n">
        <f aca="false">SUMIFS(Normalized_Data!$V$2:$V$1000,Normalized_Data!$D$2:$D$1000,$A73,Normalized_Data!$E$2:$E$1000,E$59)</f>
        <v>0</v>
      </c>
      <c r="F73" s="15" t="n">
        <f aca="false">SUMIFS(Normalized_Data!$V$2:$V$1000,Normalized_Data!$D$2:$D$1000,$A73,Normalized_Data!$E$2:$E$1000,F$59)</f>
        <v>0</v>
      </c>
      <c r="G73" s="15" t="n">
        <f aca="false">SUMIFS(Normalized_Data!$V$2:$V$1000,Normalized_Data!$D$2:$D$1000,$A73,Normalized_Data!$E$2:$E$1000,G$59)</f>
        <v>0</v>
      </c>
      <c r="H73" s="15" t="n">
        <f aca="false">SUMIFS(Normalized_Data!$V$2:$V$1000,Normalized_Data!$D$2:$D$1000,$A73,Normalized_Data!$E$2:$E$1000,H$59)</f>
        <v>0</v>
      </c>
      <c r="I73" s="15" t="n">
        <f aca="false">SUMIFS(Normalized_Data!$V$2:$V$1000,Normalized_Data!$D$2:$D$1000,$A73,Normalized_Data!$E$2:$E$1000,I$59)</f>
        <v>0</v>
      </c>
      <c r="J73" s="18" t="n">
        <f aca="false">SUM(B73:I73)</f>
        <v>0</v>
      </c>
    </row>
    <row r="74" customFormat="false" ht="15" hidden="false" customHeight="false" outlineLevel="0" collapsed="false">
      <c r="A74" s="14" t="s">
        <v>43</v>
      </c>
      <c r="B74" s="15" t="n">
        <f aca="false">SUMIFS(Normalized_Data!$V$2:$V$1000,Normalized_Data!$D$2:$D$1000,$A74,Normalized_Data!$E$2:$E$1000,B$59)</f>
        <v>0</v>
      </c>
      <c r="C74" s="15" t="n">
        <f aca="false">SUMIFS(Normalized_Data!$V$2:$V$1000,Normalized_Data!$D$2:$D$1000,$A74,Normalized_Data!$E$2:$E$1000,C$59)</f>
        <v>0</v>
      </c>
      <c r="D74" s="15" t="n">
        <f aca="false">SUMIFS(Normalized_Data!$V$2:$V$1000,Normalized_Data!$D$2:$D$1000,$A74,Normalized_Data!$E$2:$E$1000,D$59)</f>
        <v>0</v>
      </c>
      <c r="E74" s="15" t="n">
        <f aca="false">SUMIFS(Normalized_Data!$V$2:$V$1000,Normalized_Data!$D$2:$D$1000,$A74,Normalized_Data!$E$2:$E$1000,E$59)</f>
        <v>0</v>
      </c>
      <c r="F74" s="15" t="n">
        <f aca="false">SUMIFS(Normalized_Data!$V$2:$V$1000,Normalized_Data!$D$2:$D$1000,$A74,Normalized_Data!$E$2:$E$1000,F$59)</f>
        <v>0</v>
      </c>
      <c r="G74" s="15" t="n">
        <f aca="false">SUMIFS(Normalized_Data!$V$2:$V$1000,Normalized_Data!$D$2:$D$1000,$A74,Normalized_Data!$E$2:$E$1000,G$59)</f>
        <v>0</v>
      </c>
      <c r="H74" s="15" t="n">
        <f aca="false">SUMIFS(Normalized_Data!$V$2:$V$1000,Normalized_Data!$D$2:$D$1000,$A74,Normalized_Data!$E$2:$E$1000,H$59)</f>
        <v>0</v>
      </c>
      <c r="I74" s="15" t="n">
        <f aca="false">SUMIFS(Normalized_Data!$V$2:$V$1000,Normalized_Data!$D$2:$D$1000,$A74,Normalized_Data!$E$2:$E$1000,I$59)</f>
        <v>0</v>
      </c>
      <c r="J74" s="18" t="n">
        <f aca="false">SUM(B74:I74)</f>
        <v>0</v>
      </c>
    </row>
    <row r="75" customFormat="false" ht="15" hidden="false" customHeight="false" outlineLevel="0" collapsed="false">
      <c r="A75" s="14" t="s">
        <v>44</v>
      </c>
      <c r="B75" s="15" t="n">
        <f aca="false">SUMIFS(Normalized_Data!$V$2:$V$1000,Normalized_Data!$D$2:$D$1000,$A75,Normalized_Data!$E$2:$E$1000,B$59)</f>
        <v>0</v>
      </c>
      <c r="C75" s="15" t="n">
        <f aca="false">SUMIFS(Normalized_Data!$V$2:$V$1000,Normalized_Data!$D$2:$D$1000,$A75,Normalized_Data!$E$2:$E$1000,C$59)</f>
        <v>0</v>
      </c>
      <c r="D75" s="15" t="n">
        <f aca="false">SUMIFS(Normalized_Data!$V$2:$V$1000,Normalized_Data!$D$2:$D$1000,$A75,Normalized_Data!$E$2:$E$1000,D$59)</f>
        <v>0</v>
      </c>
      <c r="E75" s="15" t="n">
        <f aca="false">SUMIFS(Normalized_Data!$V$2:$V$1000,Normalized_Data!$D$2:$D$1000,$A75,Normalized_Data!$E$2:$E$1000,E$59)</f>
        <v>0</v>
      </c>
      <c r="F75" s="15" t="n">
        <f aca="false">SUMIFS(Normalized_Data!$V$2:$V$1000,Normalized_Data!$D$2:$D$1000,$A75,Normalized_Data!$E$2:$E$1000,F$59)</f>
        <v>0</v>
      </c>
      <c r="G75" s="15" t="n">
        <f aca="false">SUMIFS(Normalized_Data!$V$2:$V$1000,Normalized_Data!$D$2:$D$1000,$A75,Normalized_Data!$E$2:$E$1000,G$59)</f>
        <v>0</v>
      </c>
      <c r="H75" s="15" t="n">
        <f aca="false">SUMIFS(Normalized_Data!$V$2:$V$1000,Normalized_Data!$D$2:$D$1000,$A75,Normalized_Data!$E$2:$E$1000,H$59)</f>
        <v>0</v>
      </c>
      <c r="I75" s="15" t="n">
        <f aca="false">SUMIFS(Normalized_Data!$V$2:$V$1000,Normalized_Data!$D$2:$D$1000,$A75,Normalized_Data!$E$2:$E$1000,I$59)</f>
        <v>0</v>
      </c>
      <c r="J75" s="18" t="n">
        <f aca="false">SUM(B75:I75)</f>
        <v>0</v>
      </c>
    </row>
    <row r="76" customFormat="false" ht="15" hidden="false" customHeight="false" outlineLevel="0" collapsed="false">
      <c r="A76" s="14" t="s">
        <v>45</v>
      </c>
      <c r="B76" s="15" t="n">
        <f aca="false">SUMIFS(Normalized_Data!$V$2:$V$1000,Normalized_Data!$D$2:$D$1000,$A76,Normalized_Data!$E$2:$E$1000,B$59)</f>
        <v>0</v>
      </c>
      <c r="C76" s="15" t="n">
        <f aca="false">SUMIFS(Normalized_Data!$V$2:$V$1000,Normalized_Data!$D$2:$D$1000,$A76,Normalized_Data!$E$2:$E$1000,C$59)</f>
        <v>0</v>
      </c>
      <c r="D76" s="15" t="n">
        <f aca="false">SUMIFS(Normalized_Data!$V$2:$V$1000,Normalized_Data!$D$2:$D$1000,$A76,Normalized_Data!$E$2:$E$1000,D$59)</f>
        <v>0</v>
      </c>
      <c r="E76" s="15" t="n">
        <f aca="false">SUMIFS(Normalized_Data!$V$2:$V$1000,Normalized_Data!$D$2:$D$1000,$A76,Normalized_Data!$E$2:$E$1000,E$59)</f>
        <v>0</v>
      </c>
      <c r="F76" s="15" t="n">
        <f aca="false">SUMIFS(Normalized_Data!$V$2:$V$1000,Normalized_Data!$D$2:$D$1000,$A76,Normalized_Data!$E$2:$E$1000,F$59)</f>
        <v>0</v>
      </c>
      <c r="G76" s="15" t="n">
        <f aca="false">SUMIFS(Normalized_Data!$V$2:$V$1000,Normalized_Data!$D$2:$D$1000,$A76,Normalized_Data!$E$2:$E$1000,G$59)</f>
        <v>0</v>
      </c>
      <c r="H76" s="15" t="n">
        <f aca="false">SUMIFS(Normalized_Data!$V$2:$V$1000,Normalized_Data!$D$2:$D$1000,$A76,Normalized_Data!$E$2:$E$1000,H$59)</f>
        <v>0</v>
      </c>
      <c r="I76" s="15" t="n">
        <f aca="false">SUMIFS(Normalized_Data!$V$2:$V$1000,Normalized_Data!$D$2:$D$1000,$A76,Normalized_Data!$E$2:$E$1000,I$59)</f>
        <v>0</v>
      </c>
      <c r="J76" s="18" t="n">
        <f aca="false">SUM(B76:I76)</f>
        <v>0</v>
      </c>
    </row>
    <row r="77" customFormat="false" ht="15" hidden="false" customHeight="false" outlineLevel="0" collapsed="false">
      <c r="A77" s="19" t="s">
        <v>74</v>
      </c>
      <c r="B77" s="18" t="n">
        <f aca="false">SUM(B60:B76)</f>
        <v>250.82</v>
      </c>
      <c r="C77" s="18" t="n">
        <f aca="false">SUM(C60:C76)</f>
        <v>16133.8</v>
      </c>
      <c r="D77" s="18" t="n">
        <f aca="false">SUM(D60:D76)</f>
        <v>3526.07</v>
      </c>
      <c r="E77" s="18" t="n">
        <f aca="false">SUM(E60:E76)</f>
        <v>41538</v>
      </c>
      <c r="F77" s="18" t="n">
        <f aca="false">SUM(F60:F76)</f>
        <v>0</v>
      </c>
      <c r="G77" s="18" t="n">
        <f aca="false">SUM(G60:G76)</f>
        <v>0</v>
      </c>
      <c r="H77" s="18" t="n">
        <f aca="false">SUM(H60:H76)</f>
        <v>0</v>
      </c>
      <c r="I77" s="18" t="n">
        <f aca="false">SUM(I60:I76)</f>
        <v>2234.45</v>
      </c>
      <c r="J77" s="18" t="n">
        <f aca="false">SUM(J60:J76)</f>
        <v>63683.14</v>
      </c>
    </row>
    <row r="79" customFormat="false" ht="15" hidden="false" customHeight="false" outlineLevel="0" collapsed="false">
      <c r="A79" s="11" t="s">
        <v>75</v>
      </c>
      <c r="B79" s="12"/>
      <c r="C79" s="12"/>
      <c r="D79" s="12"/>
    </row>
    <row r="80" customFormat="false" ht="15" hidden="false" customHeight="false" outlineLevel="0" collapsed="false">
      <c r="A80" s="19" t="s">
        <v>76</v>
      </c>
      <c r="B80" s="15" t="n">
        <f aca="false">SUM(Normalized_Data!$V$2:$V$1000)</f>
        <v>63683.14</v>
      </c>
    </row>
    <row r="81" customFormat="false" ht="15" hidden="false" customHeight="false" outlineLevel="0" collapsed="false">
      <c r="A81" s="19" t="s">
        <v>77</v>
      </c>
      <c r="B81" s="15" t="n">
        <f aca="false">SUMIF(Normalized_Data!$M$2:$M$1000,"&lt;&gt;none",Normalized_Data!$V$2:$V$1000)</f>
        <v>40899.17</v>
      </c>
    </row>
    <row r="82" customFormat="false" ht="15" hidden="false" customHeight="false" outlineLevel="0" collapsed="false">
      <c r="A82" s="14" t="s">
        <v>78</v>
      </c>
      <c r="B82" s="15" t="n">
        <f aca="false">SUMIFS(Normalized_Data!$V$2:$V$1000,Normalized_Data!$M$2:$M$1000,"&lt;&gt;none",Normalized_Data!$N$2:$N$1000,"Used")</f>
        <v>40798.37</v>
      </c>
    </row>
    <row r="83" customFormat="false" ht="15" hidden="false" customHeight="false" outlineLevel="0" collapsed="false">
      <c r="A83" s="14" t="s">
        <v>79</v>
      </c>
      <c r="B83" s="15" t="n">
        <f aca="false">SUMIF(Normalized_Data!$T$2:$T$1000,"unused-commitment",Normalized_Data!$V$2:$V$1000)</f>
        <v>100.8</v>
      </c>
    </row>
    <row r="84" customFormat="false" ht="15" hidden="false" customHeight="false" outlineLevel="0" collapsed="false">
      <c r="A84" s="19" t="s">
        <v>80</v>
      </c>
      <c r="B84" s="15" t="n">
        <f aca="false">SUMIFS(Normalized_Data!$V$2:$V$1000,Normalized_Data!$L$2:$L$1000,"on-demand",Normalized_Data!$D$2:$D$1000,"compute-infra")+SUMIFS(Normalized_Data!$V$2:$V$1000,Normalized_Data!$L$2:$L$1000,"on-demand",Normalized_Data!$D$2:$D$1000,"inference")+SUMIFS(Normalized_Data!$V$2:$V$1000,Normalized_Data!$L$2:$L$1000,"on-demand",Normalized_Data!$D$2:$D$1000,"training")</f>
        <v>19713.52</v>
      </c>
    </row>
    <row r="85" customFormat="false" ht="15" hidden="false" customHeight="false" outlineLevel="0" collapsed="false">
      <c r="A85" s="19" t="s">
        <v>81</v>
      </c>
      <c r="B85" s="20" t="n">
        <f aca="false">IF((B82+B84)=0,0,B82/(B82+B84))</f>
        <v>0.674220719266908</v>
      </c>
    </row>
    <row r="87" customFormat="false" ht="15" hidden="false" customHeight="false" outlineLevel="0" collapsed="false">
      <c r="A87" s="11" t="s">
        <v>82</v>
      </c>
      <c r="B87" s="12"/>
      <c r="C87" s="12"/>
      <c r="D87" s="12"/>
    </row>
    <row r="88" customFormat="false" ht="15" hidden="false" customHeight="false" outlineLevel="0" collapsed="false">
      <c r="A88" s="13" t="s">
        <v>83</v>
      </c>
      <c r="B88" s="13" t="s">
        <v>27</v>
      </c>
      <c r="C88" s="13" t="s">
        <v>28</v>
      </c>
    </row>
    <row r="89" customFormat="false" ht="15" hidden="false" customHeight="false" outlineLevel="0" collapsed="false">
      <c r="A89" s="14" t="s">
        <v>84</v>
      </c>
      <c r="B89" s="15" t="n">
        <f aca="false">SUMIF(Normalized_Data!$T$2:$T$1000,A89,Normalized_Data!$V$2:$V$1000)</f>
        <v>0</v>
      </c>
      <c r="C89" s="16" t="n">
        <f aca="false">IF($B$4=0,0,B89/$B$4)</f>
        <v>0</v>
      </c>
    </row>
    <row r="90" customFormat="false" ht="15" hidden="false" customHeight="false" outlineLevel="0" collapsed="false">
      <c r="A90" s="14" t="s">
        <v>85</v>
      </c>
      <c r="B90" s="15" t="n">
        <f aca="false">SUMIF(Normalized_Data!$T$2:$T$1000,A90,Normalized_Data!$V$2:$V$1000)</f>
        <v>0</v>
      </c>
      <c r="C90" s="16" t="n">
        <f aca="false">IF($B$4=0,0,B90/$B$4)</f>
        <v>0</v>
      </c>
    </row>
    <row r="91" customFormat="false" ht="15" hidden="false" customHeight="false" outlineLevel="0" collapsed="false">
      <c r="A91" s="14" t="s">
        <v>86</v>
      </c>
      <c r="B91" s="15" t="n">
        <f aca="false">SUMIF(Normalized_Data!$T$2:$T$1000,A91,Normalized_Data!$V$2:$V$1000)</f>
        <v>100.8</v>
      </c>
      <c r="C91" s="16" t="n">
        <f aca="false">IF($B$4=0,0,B91/$B$4)</f>
        <v>0.00158283652470654</v>
      </c>
    </row>
    <row r="92" customFormat="false" ht="15" hidden="false" customHeight="false" outlineLevel="0" collapsed="false">
      <c r="A92" s="14" t="s">
        <v>87</v>
      </c>
      <c r="B92" s="15" t="n">
        <f aca="false">SUMIF(Normalized_Data!$T$2:$T$1000,A92,Normalized_Data!$V$2:$V$1000)</f>
        <v>0</v>
      </c>
      <c r="C92" s="16" t="n">
        <f aca="false">IF($B$4=0,0,B92/$B$4)</f>
        <v>0</v>
      </c>
    </row>
    <row r="93" customFormat="false" ht="15" hidden="false" customHeight="false" outlineLevel="0" collapsed="false">
      <c r="A93" s="14" t="s">
        <v>88</v>
      </c>
      <c r="B93" s="15" t="n">
        <f aca="false">SUMIF(Normalized_Data!$T$2:$T$1000,A93,Normalized_Data!$V$2:$V$1000)</f>
        <v>0</v>
      </c>
      <c r="C93" s="16" t="n">
        <f aca="false">IF($B$4=0,0,B93/$B$4)</f>
        <v>0</v>
      </c>
    </row>
    <row r="94" customFormat="false" ht="15" hidden="false" customHeight="false" outlineLevel="0" collapsed="false">
      <c r="A94" s="14" t="s">
        <v>89</v>
      </c>
      <c r="B94" s="15" t="n">
        <f aca="false">SUMIF(Normalized_Data!$T$2:$T$1000,A94,Normalized_Data!$V$2:$V$1000)</f>
        <v>0</v>
      </c>
      <c r="C94" s="16" t="n">
        <f aca="false">IF($B$4=0,0,B94/$B$4)</f>
        <v>0</v>
      </c>
    </row>
    <row r="95" customFormat="false" ht="15" hidden="false" customHeight="false" outlineLevel="0" collapsed="false">
      <c r="A95" s="14" t="s">
        <v>90</v>
      </c>
      <c r="B95" s="15" t="n">
        <f aca="false">SUMIF(Normalized_Data!$T$2:$T$1000,A95,Normalized_Data!$V$2:$V$1000)</f>
        <v>0</v>
      </c>
      <c r="C95" s="16" t="n">
        <f aca="false">IF($B$4=0,0,B95/$B$4)</f>
        <v>0</v>
      </c>
    </row>
    <row r="96" customFormat="false" ht="15" hidden="false" customHeight="false" outlineLevel="0" collapsed="false">
      <c r="A96" s="19" t="s">
        <v>91</v>
      </c>
      <c r="B96" s="18" t="n">
        <f aca="false">SUMIF(Normalized_Data!$T$2:$T$1000,"&lt;&gt;none",Normalized_Data!$V$2:$V$1000)</f>
        <v>100.8</v>
      </c>
      <c r="C96" s="20" t="n">
        <f aca="false">IF($B$4=0,0,B96/$B$4)</f>
        <v>0.00158283652470654</v>
      </c>
    </row>
    <row r="97" customFormat="false" ht="15" hidden="false" customHeight="false" outlineLevel="0" collapsed="false">
      <c r="A97" s="19" t="s">
        <v>92</v>
      </c>
      <c r="B97" s="18" t="n">
        <f aca="false">SUMIF(Normalized_Data!$S$2:$S$1000,"shadow-AI",Normalized_Data!$V$2:$V$1000)</f>
        <v>160</v>
      </c>
      <c r="C97" s="20" t="n">
        <f aca="false">IF($B$4=0,0,B97/$B$4)</f>
        <v>0.00251243892810562</v>
      </c>
    </row>
  </sheetData>
  <mergeCells count="2">
    <mergeCell ref="A1:E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9"/>
    <col collapsed="false" customWidth="true" hidden="false" outlineLevel="0" max="6" min="5" style="1" width="24"/>
    <col collapsed="false" customWidth="true" hidden="false" outlineLevel="0" max="7" min="7" style="1" width="52"/>
  </cols>
  <sheetData>
    <row r="1" customFormat="false" ht="17.2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</row>
    <row r="3" customFormat="false" ht="23.25" hidden="false" customHeight="true" outlineLevel="0" collapsed="false">
      <c r="A3" s="21" t="s">
        <v>94</v>
      </c>
      <c r="B3" s="21" t="s">
        <v>95</v>
      </c>
      <c r="C3" s="21" t="s">
        <v>96</v>
      </c>
      <c r="D3" s="21" t="s">
        <v>97</v>
      </c>
      <c r="E3" s="21" t="s">
        <v>98</v>
      </c>
      <c r="F3" s="21" t="s">
        <v>99</v>
      </c>
      <c r="G3" s="21" t="s">
        <v>100</v>
      </c>
    </row>
    <row r="4" customFormat="false" ht="23.25" hidden="false" customHeight="true" outlineLevel="0" collapsed="false">
      <c r="A4" s="22" t="s">
        <v>101</v>
      </c>
      <c r="B4" s="22" t="s">
        <v>102</v>
      </c>
      <c r="C4" s="22" t="s">
        <v>103</v>
      </c>
      <c r="D4" s="22" t="s">
        <v>104</v>
      </c>
      <c r="E4" s="22" t="s">
        <v>16</v>
      </c>
      <c r="F4" s="22" t="s">
        <v>105</v>
      </c>
      <c r="G4" s="22" t="s">
        <v>106</v>
      </c>
    </row>
    <row r="5" customFormat="false" ht="23.25" hidden="false" customHeight="true" outlineLevel="0" collapsed="false">
      <c r="A5" s="22" t="s">
        <v>107</v>
      </c>
      <c r="B5" s="22" t="s">
        <v>102</v>
      </c>
      <c r="C5" s="22" t="s">
        <v>108</v>
      </c>
      <c r="D5" s="22" t="s">
        <v>104</v>
      </c>
      <c r="E5" s="22" t="s">
        <v>109</v>
      </c>
      <c r="F5" s="22" t="s">
        <v>110</v>
      </c>
      <c r="G5" s="22" t="s">
        <v>111</v>
      </c>
    </row>
    <row r="6" customFormat="false" ht="23.25" hidden="false" customHeight="true" outlineLevel="0" collapsed="false">
      <c r="A6" s="22" t="s">
        <v>112</v>
      </c>
      <c r="B6" s="22" t="s">
        <v>102</v>
      </c>
      <c r="C6" s="22" t="s">
        <v>108</v>
      </c>
      <c r="D6" s="22" t="s">
        <v>104</v>
      </c>
      <c r="E6" s="22" t="s">
        <v>18</v>
      </c>
      <c r="F6" s="22" t="s">
        <v>112</v>
      </c>
      <c r="G6" s="22" t="s">
        <v>113</v>
      </c>
    </row>
    <row r="7" customFormat="false" ht="15" hidden="false" customHeight="true" outlineLevel="0" collapsed="false">
      <c r="A7" s="22" t="s">
        <v>114</v>
      </c>
      <c r="B7" s="22" t="s">
        <v>102</v>
      </c>
      <c r="C7" s="22" t="s">
        <v>108</v>
      </c>
      <c r="D7" s="22" t="s">
        <v>115</v>
      </c>
      <c r="E7" s="22" t="s">
        <v>109</v>
      </c>
      <c r="F7" s="22" t="s">
        <v>116</v>
      </c>
      <c r="G7" s="22" t="s">
        <v>117</v>
      </c>
    </row>
    <row r="8" customFormat="false" ht="15" hidden="false" customHeight="true" outlineLevel="0" collapsed="false">
      <c r="A8" s="22" t="s">
        <v>118</v>
      </c>
      <c r="B8" s="22" t="s">
        <v>102</v>
      </c>
      <c r="C8" s="22" t="s">
        <v>103</v>
      </c>
      <c r="D8" s="22" t="s">
        <v>104</v>
      </c>
      <c r="E8" s="22" t="s">
        <v>16</v>
      </c>
      <c r="F8" s="22" t="s">
        <v>118</v>
      </c>
      <c r="G8" s="22" t="s">
        <v>119</v>
      </c>
    </row>
    <row r="9" customFormat="false" ht="23.25" hidden="false" customHeight="true" outlineLevel="0" collapsed="false">
      <c r="A9" s="22" t="s">
        <v>47</v>
      </c>
      <c r="B9" s="22" t="s">
        <v>120</v>
      </c>
      <c r="C9" s="22" t="s">
        <v>103</v>
      </c>
      <c r="D9" s="22" t="s">
        <v>104</v>
      </c>
      <c r="E9" s="22" t="s">
        <v>16</v>
      </c>
      <c r="F9" s="22" t="s">
        <v>121</v>
      </c>
      <c r="G9" s="22" t="s">
        <v>122</v>
      </c>
    </row>
    <row r="10" customFormat="false" ht="23.25" hidden="false" customHeight="true" outlineLevel="0" collapsed="false">
      <c r="A10" s="22" t="s">
        <v>123</v>
      </c>
      <c r="B10" s="22" t="s">
        <v>120</v>
      </c>
      <c r="C10" s="22" t="s">
        <v>103</v>
      </c>
      <c r="D10" s="22" t="s">
        <v>115</v>
      </c>
      <c r="E10" s="22" t="s">
        <v>16</v>
      </c>
      <c r="F10" s="22" t="s">
        <v>124</v>
      </c>
      <c r="G10" s="22" t="s">
        <v>125</v>
      </c>
    </row>
    <row r="11" customFormat="false" ht="23.25" hidden="false" customHeight="true" outlineLevel="0" collapsed="false">
      <c r="A11" s="22" t="s">
        <v>126</v>
      </c>
      <c r="B11" s="22" t="s">
        <v>120</v>
      </c>
      <c r="C11" s="22" t="s">
        <v>103</v>
      </c>
      <c r="D11" s="22" t="s">
        <v>115</v>
      </c>
      <c r="E11" s="22" t="s">
        <v>16</v>
      </c>
      <c r="F11" s="22" t="s">
        <v>121</v>
      </c>
      <c r="G11" s="22" t="s">
        <v>127</v>
      </c>
    </row>
    <row r="12" customFormat="false" ht="23.25" hidden="false" customHeight="true" outlineLevel="0" collapsed="false">
      <c r="A12" s="22" t="s">
        <v>128</v>
      </c>
      <c r="B12" s="22" t="s">
        <v>120</v>
      </c>
      <c r="C12" s="22" t="s">
        <v>103</v>
      </c>
      <c r="D12" s="22" t="s">
        <v>115</v>
      </c>
      <c r="E12" s="22" t="s">
        <v>16</v>
      </c>
      <c r="F12" s="22" t="s">
        <v>124</v>
      </c>
      <c r="G12" s="22" t="s">
        <v>129</v>
      </c>
    </row>
    <row r="13" customFormat="false" ht="15" hidden="false" customHeight="true" outlineLevel="0" collapsed="false">
      <c r="A13" s="22" t="s">
        <v>130</v>
      </c>
      <c r="B13" s="22" t="s">
        <v>120</v>
      </c>
      <c r="C13" s="22" t="s">
        <v>108</v>
      </c>
      <c r="D13" s="22" t="s">
        <v>115</v>
      </c>
      <c r="E13" s="22" t="s">
        <v>109</v>
      </c>
      <c r="F13" s="22" t="s">
        <v>121</v>
      </c>
      <c r="G13" s="22" t="s">
        <v>131</v>
      </c>
    </row>
    <row r="14" customFormat="false" ht="15" hidden="false" customHeight="true" outlineLevel="0" collapsed="false">
      <c r="A14" s="22" t="s">
        <v>132</v>
      </c>
      <c r="B14" s="22" t="s">
        <v>120</v>
      </c>
      <c r="C14" s="22" t="s">
        <v>108</v>
      </c>
      <c r="D14" s="22" t="s">
        <v>115</v>
      </c>
      <c r="E14" s="22" t="s">
        <v>109</v>
      </c>
      <c r="F14" s="22" t="s">
        <v>121</v>
      </c>
      <c r="G14" s="22" t="s">
        <v>133</v>
      </c>
    </row>
    <row r="15" customFormat="false" ht="15" hidden="false" customHeight="true" outlineLevel="0" collapsed="false">
      <c r="A15" s="22" t="s">
        <v>26</v>
      </c>
      <c r="B15" s="22" t="s">
        <v>134</v>
      </c>
      <c r="C15" s="22" t="s">
        <v>103</v>
      </c>
      <c r="D15" s="22" t="s">
        <v>104</v>
      </c>
      <c r="E15" s="22" t="s">
        <v>16</v>
      </c>
      <c r="F15" s="22" t="s">
        <v>135</v>
      </c>
      <c r="G15" s="22" t="s">
        <v>136</v>
      </c>
    </row>
    <row r="16" customFormat="false" ht="34.5" hidden="false" customHeight="true" outlineLevel="0" collapsed="false">
      <c r="A16" s="22" t="s">
        <v>57</v>
      </c>
      <c r="B16" s="22" t="s">
        <v>137</v>
      </c>
      <c r="C16" s="22" t="s">
        <v>103</v>
      </c>
      <c r="D16" s="22" t="s">
        <v>104</v>
      </c>
      <c r="E16" s="22" t="s">
        <v>16</v>
      </c>
      <c r="F16" s="22" t="s">
        <v>124</v>
      </c>
      <c r="G16" s="22" t="s">
        <v>138</v>
      </c>
    </row>
    <row r="17" customFormat="false" ht="23.25" hidden="false" customHeight="true" outlineLevel="0" collapsed="false">
      <c r="A17" s="22" t="s">
        <v>139</v>
      </c>
      <c r="B17" s="22" t="s">
        <v>140</v>
      </c>
      <c r="C17" s="22" t="s">
        <v>103</v>
      </c>
      <c r="D17" s="22" t="s">
        <v>104</v>
      </c>
      <c r="E17" s="22" t="s">
        <v>16</v>
      </c>
      <c r="F17" s="22" t="s">
        <v>139</v>
      </c>
      <c r="G17" s="22" t="s">
        <v>141</v>
      </c>
    </row>
    <row r="18" customFormat="false" ht="23.25" hidden="false" customHeight="true" outlineLevel="0" collapsed="false">
      <c r="A18" s="22" t="s">
        <v>142</v>
      </c>
      <c r="B18" s="22" t="s">
        <v>140</v>
      </c>
      <c r="C18" s="22" t="s">
        <v>103</v>
      </c>
      <c r="D18" s="22" t="s">
        <v>104</v>
      </c>
      <c r="E18" s="22" t="s">
        <v>16</v>
      </c>
      <c r="F18" s="22" t="s">
        <v>143</v>
      </c>
      <c r="G18" s="22" t="s">
        <v>144</v>
      </c>
    </row>
    <row r="19" customFormat="false" ht="23.25" hidden="false" customHeight="true" outlineLevel="0" collapsed="false">
      <c r="A19" s="22" t="s">
        <v>145</v>
      </c>
      <c r="B19" s="22" t="s">
        <v>146</v>
      </c>
      <c r="C19" s="22" t="s">
        <v>103</v>
      </c>
      <c r="D19" s="22" t="s">
        <v>115</v>
      </c>
      <c r="E19" s="22" t="s">
        <v>16</v>
      </c>
      <c r="F19" s="22" t="s">
        <v>145</v>
      </c>
      <c r="G19" s="22" t="s">
        <v>147</v>
      </c>
    </row>
    <row r="20" customFormat="false" ht="23.25" hidden="false" customHeight="true" outlineLevel="0" collapsed="false">
      <c r="A20" s="22" t="s">
        <v>148</v>
      </c>
      <c r="B20" s="22" t="s">
        <v>146</v>
      </c>
      <c r="C20" s="22" t="s">
        <v>103</v>
      </c>
      <c r="D20" s="22" t="s">
        <v>115</v>
      </c>
      <c r="E20" s="22" t="s">
        <v>16</v>
      </c>
      <c r="F20" s="22" t="s">
        <v>148</v>
      </c>
      <c r="G20" s="22" t="s">
        <v>149</v>
      </c>
    </row>
    <row r="21" customFormat="false" ht="23.25" hidden="false" customHeight="true" outlineLevel="0" collapsed="false">
      <c r="A21" s="22" t="s">
        <v>150</v>
      </c>
      <c r="B21" s="22" t="s">
        <v>146</v>
      </c>
      <c r="C21" s="22" t="s">
        <v>151</v>
      </c>
      <c r="D21" s="22" t="s">
        <v>115</v>
      </c>
      <c r="E21" s="22" t="s">
        <v>152</v>
      </c>
      <c r="F21" s="22" t="s">
        <v>121</v>
      </c>
      <c r="G21" s="22" t="s">
        <v>153</v>
      </c>
    </row>
    <row r="22" customFormat="false" ht="15" hidden="false" customHeight="true" outlineLevel="0" collapsed="false">
      <c r="A22" s="22" t="s">
        <v>154</v>
      </c>
      <c r="B22" s="22" t="s">
        <v>155</v>
      </c>
      <c r="C22" s="22" t="s">
        <v>103</v>
      </c>
      <c r="D22" s="22" t="s">
        <v>104</v>
      </c>
      <c r="E22" s="22" t="s">
        <v>16</v>
      </c>
      <c r="F22" s="22" t="s">
        <v>121</v>
      </c>
      <c r="G22" s="22" t="s">
        <v>156</v>
      </c>
    </row>
    <row r="23" customFormat="false" ht="15" hidden="false" customHeight="true" outlineLevel="0" collapsed="false">
      <c r="A23" s="22" t="s">
        <v>157</v>
      </c>
      <c r="B23" s="22" t="s">
        <v>155</v>
      </c>
      <c r="C23" s="22" t="s">
        <v>103</v>
      </c>
      <c r="D23" s="22" t="s">
        <v>115</v>
      </c>
      <c r="E23" s="22" t="s">
        <v>16</v>
      </c>
      <c r="F23" s="22" t="s">
        <v>121</v>
      </c>
      <c r="G23" s="22" t="s">
        <v>158</v>
      </c>
    </row>
    <row r="24" customFormat="false" ht="15" hidden="false" customHeight="true" outlineLevel="0" collapsed="false">
      <c r="A24" s="22" t="s">
        <v>159</v>
      </c>
      <c r="B24" s="22" t="s">
        <v>155</v>
      </c>
      <c r="C24" s="22" t="s">
        <v>103</v>
      </c>
      <c r="D24" s="22" t="s">
        <v>115</v>
      </c>
      <c r="E24" s="22" t="s">
        <v>16</v>
      </c>
      <c r="F24" s="22" t="s">
        <v>121</v>
      </c>
      <c r="G24" s="22" t="s">
        <v>160</v>
      </c>
    </row>
    <row r="25" customFormat="false" ht="15" hidden="false" customHeight="true" outlineLevel="0" collapsed="false">
      <c r="A25" s="22" t="s">
        <v>161</v>
      </c>
      <c r="B25" s="22" t="s">
        <v>155</v>
      </c>
      <c r="C25" s="22" t="s">
        <v>103</v>
      </c>
      <c r="D25" s="22" t="s">
        <v>104</v>
      </c>
      <c r="E25" s="22" t="s">
        <v>16</v>
      </c>
      <c r="F25" s="22" t="s">
        <v>121</v>
      </c>
      <c r="G25" s="22" t="s">
        <v>162</v>
      </c>
    </row>
    <row r="26" customFormat="false" ht="15" hidden="false" customHeight="true" outlineLevel="0" collapsed="false">
      <c r="A26" s="22" t="s">
        <v>163</v>
      </c>
      <c r="B26" s="22" t="s">
        <v>155</v>
      </c>
      <c r="C26" s="22" t="s">
        <v>108</v>
      </c>
      <c r="D26" s="22" t="s">
        <v>104</v>
      </c>
      <c r="E26" s="22" t="s">
        <v>109</v>
      </c>
      <c r="F26" s="22" t="s">
        <v>164</v>
      </c>
      <c r="G26" s="22" t="s">
        <v>165</v>
      </c>
    </row>
    <row r="27" customFormat="false" ht="15" hidden="false" customHeight="true" outlineLevel="0" collapsed="false">
      <c r="A27" s="22" t="s">
        <v>166</v>
      </c>
      <c r="B27" s="22" t="s">
        <v>155</v>
      </c>
      <c r="C27" s="22" t="s">
        <v>108</v>
      </c>
      <c r="D27" s="22" t="s">
        <v>115</v>
      </c>
      <c r="E27" s="22" t="s">
        <v>109</v>
      </c>
      <c r="F27" s="22" t="s">
        <v>164</v>
      </c>
      <c r="G27" s="22" t="s">
        <v>167</v>
      </c>
    </row>
    <row r="28" customFormat="false" ht="15" hidden="false" customHeight="true" outlineLevel="0" collapsed="false">
      <c r="A28" s="22" t="s">
        <v>168</v>
      </c>
      <c r="B28" s="22" t="s">
        <v>155</v>
      </c>
      <c r="C28" s="22" t="s">
        <v>108</v>
      </c>
      <c r="D28" s="22" t="s">
        <v>115</v>
      </c>
      <c r="E28" s="22" t="s">
        <v>109</v>
      </c>
      <c r="F28" s="22" t="s">
        <v>164</v>
      </c>
      <c r="G28" s="22" t="s">
        <v>169</v>
      </c>
    </row>
    <row r="29" customFormat="false" ht="15" hidden="false" customHeight="true" outlineLevel="0" collapsed="false">
      <c r="A29" s="22" t="s">
        <v>170</v>
      </c>
      <c r="B29" s="22" t="s">
        <v>155</v>
      </c>
      <c r="C29" s="22" t="s">
        <v>108</v>
      </c>
      <c r="D29" s="22" t="s">
        <v>115</v>
      </c>
      <c r="E29" s="22" t="s">
        <v>109</v>
      </c>
      <c r="F29" s="22" t="s">
        <v>164</v>
      </c>
      <c r="G29" s="22" t="s">
        <v>171</v>
      </c>
    </row>
    <row r="30" customFormat="false" ht="15" hidden="false" customHeight="true" outlineLevel="0" collapsed="false">
      <c r="A30" s="22" t="s">
        <v>172</v>
      </c>
      <c r="B30" s="22" t="s">
        <v>155</v>
      </c>
      <c r="C30" s="22" t="s">
        <v>108</v>
      </c>
      <c r="D30" s="22" t="s">
        <v>115</v>
      </c>
      <c r="E30" s="22" t="s">
        <v>109</v>
      </c>
      <c r="F30" s="22" t="s">
        <v>164</v>
      </c>
      <c r="G30" s="22" t="s">
        <v>173</v>
      </c>
    </row>
    <row r="31" customFormat="false" ht="15" hidden="false" customHeight="true" outlineLevel="0" collapsed="false">
      <c r="A31" s="22" t="s">
        <v>174</v>
      </c>
      <c r="B31" s="22" t="s">
        <v>155</v>
      </c>
      <c r="C31" s="22" t="s">
        <v>108</v>
      </c>
      <c r="D31" s="22" t="s">
        <v>104</v>
      </c>
      <c r="E31" s="22" t="s">
        <v>109</v>
      </c>
      <c r="F31" s="22" t="s">
        <v>164</v>
      </c>
      <c r="G31" s="22" t="s">
        <v>175</v>
      </c>
    </row>
    <row r="32" customFormat="false" ht="15" hidden="false" customHeight="true" outlineLevel="0" collapsed="false">
      <c r="A32" s="22" t="s">
        <v>176</v>
      </c>
      <c r="B32" s="22" t="s">
        <v>177</v>
      </c>
      <c r="C32" s="22" t="s">
        <v>103</v>
      </c>
      <c r="D32" s="22" t="s">
        <v>104</v>
      </c>
      <c r="E32" s="22" t="s">
        <v>16</v>
      </c>
      <c r="F32" s="22" t="s">
        <v>121</v>
      </c>
      <c r="G32" s="22" t="s">
        <v>178</v>
      </c>
    </row>
    <row r="33" customFormat="false" ht="23.25" hidden="false" customHeight="true" outlineLevel="0" collapsed="false">
      <c r="A33" s="22" t="s">
        <v>179</v>
      </c>
      <c r="B33" s="22" t="s">
        <v>177</v>
      </c>
      <c r="C33" s="22" t="s">
        <v>103</v>
      </c>
      <c r="D33" s="22" t="s">
        <v>115</v>
      </c>
      <c r="E33" s="22" t="s">
        <v>16</v>
      </c>
      <c r="F33" s="22" t="s">
        <v>124</v>
      </c>
      <c r="G33" s="22" t="s">
        <v>180</v>
      </c>
    </row>
    <row r="34" customFormat="false" ht="15" hidden="false" customHeight="true" outlineLevel="0" collapsed="false">
      <c r="A34" s="22" t="s">
        <v>181</v>
      </c>
      <c r="B34" s="22" t="s">
        <v>177</v>
      </c>
      <c r="C34" s="22" t="s">
        <v>182</v>
      </c>
      <c r="D34" s="22" t="s">
        <v>115</v>
      </c>
      <c r="E34" s="22" t="s">
        <v>109</v>
      </c>
      <c r="F34" s="22" t="s">
        <v>124</v>
      </c>
      <c r="G34" s="22" t="s">
        <v>183</v>
      </c>
    </row>
  </sheetData>
  <autoFilter ref="A3:G3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184</v>
      </c>
      <c r="B1" s="2"/>
      <c r="C1" s="2"/>
    </row>
    <row r="3" customFormat="false" ht="15" hidden="false" customHeight="true" outlineLevel="0" collapsed="false">
      <c r="A3" s="21" t="s">
        <v>94</v>
      </c>
      <c r="B3" s="21" t="s">
        <v>185</v>
      </c>
      <c r="C3" s="21" t="s">
        <v>186</v>
      </c>
    </row>
    <row r="4" customFormat="false" ht="15" hidden="false" customHeight="true" outlineLevel="0" collapsed="false">
      <c r="A4" s="22" t="s">
        <v>118</v>
      </c>
      <c r="B4" s="22" t="s">
        <v>187</v>
      </c>
      <c r="C4" s="22" t="s">
        <v>188</v>
      </c>
    </row>
    <row r="5" customFormat="false" ht="15" hidden="false" customHeight="true" outlineLevel="0" collapsed="false">
      <c r="A5" s="22" t="s">
        <v>118</v>
      </c>
      <c r="B5" s="22" t="s">
        <v>189</v>
      </c>
      <c r="C5" s="22" t="s">
        <v>190</v>
      </c>
    </row>
    <row r="6" customFormat="false" ht="15" hidden="false" customHeight="true" outlineLevel="0" collapsed="false">
      <c r="A6" s="22" t="s">
        <v>118</v>
      </c>
      <c r="B6" s="22" t="s">
        <v>191</v>
      </c>
      <c r="C6" s="22" t="s">
        <v>192</v>
      </c>
    </row>
    <row r="7" customFormat="false" ht="15" hidden="false" customHeight="true" outlineLevel="0" collapsed="false">
      <c r="A7" s="22" t="s">
        <v>118</v>
      </c>
      <c r="B7" s="22" t="s">
        <v>193</v>
      </c>
      <c r="C7" s="22" t="s">
        <v>194</v>
      </c>
    </row>
    <row r="8" customFormat="false" ht="15" hidden="false" customHeight="true" outlineLevel="0" collapsed="false">
      <c r="A8" s="22" t="s">
        <v>118</v>
      </c>
      <c r="B8" s="22" t="s">
        <v>195</v>
      </c>
      <c r="C8" s="22" t="s">
        <v>196</v>
      </c>
    </row>
    <row r="9" customFormat="false" ht="15" hidden="false" customHeight="true" outlineLevel="0" collapsed="false">
      <c r="A9" s="22" t="s">
        <v>118</v>
      </c>
      <c r="B9" s="22" t="s">
        <v>197</v>
      </c>
      <c r="C9" s="22" t="s">
        <v>198</v>
      </c>
    </row>
    <row r="10" customFormat="false" ht="15" hidden="false" customHeight="true" outlineLevel="0" collapsed="false">
      <c r="A10" s="22" t="s">
        <v>47</v>
      </c>
      <c r="B10" s="22" t="s">
        <v>48</v>
      </c>
      <c r="C10" s="22" t="s">
        <v>199</v>
      </c>
    </row>
    <row r="11" customFormat="false" ht="15" hidden="false" customHeight="true" outlineLevel="0" collapsed="false">
      <c r="A11" s="22" t="s">
        <v>47</v>
      </c>
      <c r="B11" s="22" t="s">
        <v>49</v>
      </c>
      <c r="C11" s="22" t="s">
        <v>200</v>
      </c>
    </row>
    <row r="12" customFormat="false" ht="15" hidden="false" customHeight="true" outlineLevel="0" collapsed="false">
      <c r="A12" s="22" t="s">
        <v>47</v>
      </c>
      <c r="B12" s="22" t="s">
        <v>50</v>
      </c>
      <c r="C12" s="22" t="s">
        <v>201</v>
      </c>
    </row>
    <row r="13" customFormat="false" ht="15" hidden="false" customHeight="true" outlineLevel="0" collapsed="false">
      <c r="A13" s="22" t="s">
        <v>47</v>
      </c>
      <c r="B13" s="22" t="s">
        <v>51</v>
      </c>
      <c r="C13" s="22" t="s">
        <v>202</v>
      </c>
    </row>
    <row r="14" customFormat="false" ht="15" hidden="false" customHeight="true" outlineLevel="0" collapsed="false">
      <c r="A14" s="22" t="s">
        <v>47</v>
      </c>
      <c r="B14" s="22" t="s">
        <v>52</v>
      </c>
      <c r="C14" s="22" t="s">
        <v>203</v>
      </c>
    </row>
    <row r="15" customFormat="false" ht="15" hidden="false" customHeight="true" outlineLevel="0" collapsed="false">
      <c r="A15" s="22" t="s">
        <v>47</v>
      </c>
      <c r="B15" s="22" t="s">
        <v>53</v>
      </c>
      <c r="C15" s="22" t="s">
        <v>204</v>
      </c>
    </row>
    <row r="16" customFormat="false" ht="15" hidden="false" customHeight="true" outlineLevel="0" collapsed="false">
      <c r="A16" s="22" t="s">
        <v>47</v>
      </c>
      <c r="B16" s="22" t="s">
        <v>54</v>
      </c>
      <c r="C16" s="22" t="s">
        <v>205</v>
      </c>
    </row>
    <row r="17" customFormat="false" ht="15" hidden="false" customHeight="true" outlineLevel="0" collapsed="false">
      <c r="A17" s="22" t="s">
        <v>47</v>
      </c>
      <c r="B17" s="22" t="s">
        <v>55</v>
      </c>
      <c r="C17" s="22" t="s">
        <v>206</v>
      </c>
    </row>
    <row r="18" customFormat="false" ht="15" hidden="false" customHeight="true" outlineLevel="0" collapsed="false">
      <c r="A18" s="22" t="s">
        <v>123</v>
      </c>
      <c r="B18" s="22" t="s">
        <v>207</v>
      </c>
      <c r="C18" s="22" t="s">
        <v>208</v>
      </c>
    </row>
    <row r="19" customFormat="false" ht="15" hidden="false" customHeight="true" outlineLevel="0" collapsed="false">
      <c r="A19" s="22" t="s">
        <v>123</v>
      </c>
      <c r="B19" s="22" t="s">
        <v>209</v>
      </c>
      <c r="C19" s="22" t="s">
        <v>210</v>
      </c>
    </row>
    <row r="20" customFormat="false" ht="15" hidden="false" customHeight="true" outlineLevel="0" collapsed="false">
      <c r="A20" s="22" t="s">
        <v>123</v>
      </c>
      <c r="B20" s="22" t="s">
        <v>211</v>
      </c>
      <c r="C20" s="22" t="s">
        <v>212</v>
      </c>
    </row>
    <row r="21" customFormat="false" ht="15" hidden="false" customHeight="true" outlineLevel="0" collapsed="false">
      <c r="A21" s="22" t="s">
        <v>123</v>
      </c>
      <c r="B21" s="22" t="s">
        <v>213</v>
      </c>
      <c r="C21" s="22" t="s">
        <v>214</v>
      </c>
    </row>
    <row r="22" customFormat="false" ht="15" hidden="false" customHeight="true" outlineLevel="0" collapsed="false">
      <c r="A22" s="22" t="s">
        <v>123</v>
      </c>
      <c r="B22" s="22" t="s">
        <v>215</v>
      </c>
      <c r="C22" s="22" t="s">
        <v>216</v>
      </c>
    </row>
    <row r="23" customFormat="false" ht="15" hidden="false" customHeight="true" outlineLevel="0" collapsed="false">
      <c r="A23" s="22" t="s">
        <v>128</v>
      </c>
      <c r="B23" s="22" t="s">
        <v>217</v>
      </c>
      <c r="C23" s="22" t="s">
        <v>218</v>
      </c>
    </row>
    <row r="24" customFormat="false" ht="15" hidden="false" customHeight="true" outlineLevel="0" collapsed="false">
      <c r="A24" s="22" t="s">
        <v>128</v>
      </c>
      <c r="B24" s="22" t="s">
        <v>219</v>
      </c>
      <c r="C24" s="22" t="s">
        <v>220</v>
      </c>
    </row>
    <row r="25" customFormat="false" ht="15" hidden="false" customHeight="true" outlineLevel="0" collapsed="false">
      <c r="A25" s="22" t="s">
        <v>128</v>
      </c>
      <c r="B25" s="22" t="s">
        <v>221</v>
      </c>
      <c r="C25" s="22" t="s">
        <v>222</v>
      </c>
    </row>
    <row r="26" customFormat="false" ht="15" hidden="false" customHeight="true" outlineLevel="0" collapsed="false">
      <c r="A26" s="22" t="s">
        <v>128</v>
      </c>
      <c r="B26" s="22" t="s">
        <v>215</v>
      </c>
      <c r="C26" s="22" t="s">
        <v>223</v>
      </c>
    </row>
    <row r="27" customFormat="false" ht="15" hidden="false" customHeight="true" outlineLevel="0" collapsed="false">
      <c r="A27" s="22" t="s">
        <v>128</v>
      </c>
      <c r="B27" s="22" t="s">
        <v>224</v>
      </c>
      <c r="C27" s="22" t="s">
        <v>225</v>
      </c>
    </row>
    <row r="28" customFormat="false" ht="15" hidden="false" customHeight="true" outlineLevel="0" collapsed="false">
      <c r="A28" s="22" t="s">
        <v>128</v>
      </c>
      <c r="B28" s="22" t="s">
        <v>226</v>
      </c>
      <c r="C28" s="22" t="s">
        <v>227</v>
      </c>
    </row>
    <row r="29" customFormat="false" ht="15" hidden="false" customHeight="true" outlineLevel="0" collapsed="false">
      <c r="A29" s="22" t="s">
        <v>128</v>
      </c>
      <c r="B29" s="22" t="s">
        <v>228</v>
      </c>
      <c r="C29" s="22" t="s">
        <v>229</v>
      </c>
    </row>
    <row r="30" customFormat="false" ht="15" hidden="false" customHeight="true" outlineLevel="0" collapsed="false">
      <c r="A30" s="22" t="s">
        <v>128</v>
      </c>
      <c r="B30" s="22" t="s">
        <v>230</v>
      </c>
      <c r="C30" s="22" t="s">
        <v>231</v>
      </c>
    </row>
    <row r="31" customFormat="false" ht="15" hidden="false" customHeight="true" outlineLevel="0" collapsed="false">
      <c r="A31" s="22" t="s">
        <v>128</v>
      </c>
      <c r="B31" s="22" t="s">
        <v>232</v>
      </c>
      <c r="C31" s="22" t="s">
        <v>233</v>
      </c>
    </row>
    <row r="32" customFormat="false" ht="15" hidden="false" customHeight="true" outlineLevel="0" collapsed="false">
      <c r="A32" s="22" t="s">
        <v>128</v>
      </c>
      <c r="B32" s="22" t="s">
        <v>234</v>
      </c>
      <c r="C32" s="22" t="s">
        <v>235</v>
      </c>
    </row>
    <row r="33" customFormat="false" ht="15" hidden="false" customHeight="true" outlineLevel="0" collapsed="false">
      <c r="A33" s="22" t="s">
        <v>26</v>
      </c>
      <c r="B33" s="22" t="s">
        <v>29</v>
      </c>
      <c r="C33" s="22" t="s">
        <v>236</v>
      </c>
    </row>
    <row r="34" customFormat="false" ht="15" hidden="false" customHeight="true" outlineLevel="0" collapsed="false">
      <c r="A34" s="22" t="s">
        <v>26</v>
      </c>
      <c r="B34" s="22" t="s">
        <v>30</v>
      </c>
      <c r="C34" s="22" t="s">
        <v>237</v>
      </c>
    </row>
    <row r="35" customFormat="false" ht="15" hidden="false" customHeight="true" outlineLevel="0" collapsed="false">
      <c r="A35" s="22" t="s">
        <v>26</v>
      </c>
      <c r="B35" s="22" t="s">
        <v>31</v>
      </c>
      <c r="C35" s="22" t="s">
        <v>238</v>
      </c>
    </row>
    <row r="36" customFormat="false" ht="15" hidden="false" customHeight="true" outlineLevel="0" collapsed="false">
      <c r="A36" s="22" t="s">
        <v>26</v>
      </c>
      <c r="B36" s="22" t="s">
        <v>32</v>
      </c>
      <c r="C36" s="22" t="s">
        <v>239</v>
      </c>
    </row>
    <row r="37" customFormat="false" ht="15" hidden="false" customHeight="true" outlineLevel="0" collapsed="false">
      <c r="A37" s="22" t="s">
        <v>26</v>
      </c>
      <c r="B37" s="22" t="s">
        <v>33</v>
      </c>
      <c r="C37" s="22" t="s">
        <v>240</v>
      </c>
    </row>
    <row r="38" customFormat="false" ht="15" hidden="false" customHeight="true" outlineLevel="0" collapsed="false">
      <c r="A38" s="22" t="s">
        <v>26</v>
      </c>
      <c r="B38" s="22" t="s">
        <v>34</v>
      </c>
      <c r="C38" s="22" t="s">
        <v>241</v>
      </c>
    </row>
    <row r="39" customFormat="false" ht="15" hidden="false" customHeight="true" outlineLevel="0" collapsed="false">
      <c r="A39" s="22" t="s">
        <v>26</v>
      </c>
      <c r="B39" s="22" t="s">
        <v>35</v>
      </c>
      <c r="C39" s="22" t="s">
        <v>242</v>
      </c>
    </row>
    <row r="40" customFormat="false" ht="15" hidden="false" customHeight="true" outlineLevel="0" collapsed="false">
      <c r="A40" s="22" t="s">
        <v>26</v>
      </c>
      <c r="B40" s="22" t="s">
        <v>36</v>
      </c>
      <c r="C40" s="22" t="s">
        <v>243</v>
      </c>
    </row>
    <row r="41" customFormat="false" ht="15" hidden="false" customHeight="true" outlineLevel="0" collapsed="false">
      <c r="A41" s="22" t="s">
        <v>26</v>
      </c>
      <c r="B41" s="22" t="s">
        <v>37</v>
      </c>
      <c r="C41" s="22" t="s">
        <v>244</v>
      </c>
    </row>
    <row r="42" customFormat="false" ht="15" hidden="false" customHeight="true" outlineLevel="0" collapsed="false">
      <c r="A42" s="22" t="s">
        <v>26</v>
      </c>
      <c r="B42" s="22" t="s">
        <v>38</v>
      </c>
      <c r="C42" s="22" t="s">
        <v>245</v>
      </c>
    </row>
    <row r="43" customFormat="false" ht="15" hidden="false" customHeight="true" outlineLevel="0" collapsed="false">
      <c r="A43" s="22" t="s">
        <v>26</v>
      </c>
      <c r="B43" s="22" t="s">
        <v>39</v>
      </c>
      <c r="C43" s="22" t="s">
        <v>246</v>
      </c>
    </row>
    <row r="44" customFormat="false" ht="15" hidden="false" customHeight="true" outlineLevel="0" collapsed="false">
      <c r="A44" s="22" t="s">
        <v>26</v>
      </c>
      <c r="B44" s="22" t="s">
        <v>40</v>
      </c>
      <c r="C44" s="22" t="s">
        <v>247</v>
      </c>
    </row>
    <row r="45" customFormat="false" ht="15" hidden="false" customHeight="true" outlineLevel="0" collapsed="false">
      <c r="A45" s="22" t="s">
        <v>26</v>
      </c>
      <c r="B45" s="22" t="s">
        <v>41</v>
      </c>
      <c r="C45" s="22" t="s">
        <v>248</v>
      </c>
    </row>
    <row r="46" customFormat="false" ht="15" hidden="false" customHeight="true" outlineLevel="0" collapsed="false">
      <c r="A46" s="22" t="s">
        <v>26</v>
      </c>
      <c r="B46" s="22" t="s">
        <v>42</v>
      </c>
      <c r="C46" s="22" t="s">
        <v>249</v>
      </c>
    </row>
    <row r="47" customFormat="false" ht="15" hidden="false" customHeight="true" outlineLevel="0" collapsed="false">
      <c r="A47" s="22" t="s">
        <v>26</v>
      </c>
      <c r="B47" s="22" t="s">
        <v>43</v>
      </c>
      <c r="C47" s="22" t="s">
        <v>250</v>
      </c>
    </row>
    <row r="48" customFormat="false" ht="15" hidden="false" customHeight="true" outlineLevel="0" collapsed="false">
      <c r="A48" s="22" t="s">
        <v>26</v>
      </c>
      <c r="B48" s="22" t="s">
        <v>44</v>
      </c>
      <c r="C48" s="22" t="s">
        <v>251</v>
      </c>
    </row>
    <row r="49" customFormat="false" ht="15" hidden="false" customHeight="true" outlineLevel="0" collapsed="false">
      <c r="A49" s="22" t="s">
        <v>26</v>
      </c>
      <c r="B49" s="22" t="s">
        <v>45</v>
      </c>
      <c r="C49" s="22" t="s">
        <v>252</v>
      </c>
    </row>
    <row r="50" customFormat="false" ht="15" hidden="false" customHeight="true" outlineLevel="0" collapsed="false">
      <c r="A50" s="22" t="s">
        <v>57</v>
      </c>
      <c r="B50" s="22" t="s">
        <v>58</v>
      </c>
      <c r="C50" s="22" t="s">
        <v>253</v>
      </c>
    </row>
    <row r="51" customFormat="false" ht="15" hidden="false" customHeight="true" outlineLevel="0" collapsed="false">
      <c r="A51" s="22" t="s">
        <v>57</v>
      </c>
      <c r="B51" s="22" t="s">
        <v>30</v>
      </c>
      <c r="C51" s="22" t="s">
        <v>254</v>
      </c>
    </row>
    <row r="52" customFormat="false" ht="15" hidden="false" customHeight="true" outlineLevel="0" collapsed="false">
      <c r="A52" s="22" t="s">
        <v>57</v>
      </c>
      <c r="B52" s="22" t="s">
        <v>59</v>
      </c>
      <c r="C52" s="22" t="s">
        <v>255</v>
      </c>
    </row>
    <row r="53" customFormat="false" ht="15" hidden="false" customHeight="true" outlineLevel="0" collapsed="false">
      <c r="A53" s="22" t="s">
        <v>57</v>
      </c>
      <c r="B53" s="22" t="s">
        <v>60</v>
      </c>
      <c r="C53" s="22" t="s">
        <v>256</v>
      </c>
    </row>
    <row r="54" customFormat="false" ht="15" hidden="false" customHeight="true" outlineLevel="0" collapsed="false">
      <c r="A54" s="22" t="s">
        <v>57</v>
      </c>
      <c r="B54" s="22" t="s">
        <v>61</v>
      </c>
      <c r="C54" s="22" t="s">
        <v>257</v>
      </c>
    </row>
    <row r="55" customFormat="false" ht="15" hidden="false" customHeight="true" outlineLevel="0" collapsed="false">
      <c r="A55" s="22" t="s">
        <v>57</v>
      </c>
      <c r="B55" s="22" t="s">
        <v>37</v>
      </c>
      <c r="C55" s="22" t="s">
        <v>258</v>
      </c>
    </row>
    <row r="56" customFormat="false" ht="15" hidden="false" customHeight="true" outlineLevel="0" collapsed="false">
      <c r="A56" s="22" t="s">
        <v>57</v>
      </c>
      <c r="B56" s="22" t="s">
        <v>36</v>
      </c>
      <c r="C56" s="22" t="s">
        <v>259</v>
      </c>
    </row>
    <row r="57" customFormat="false" ht="15" hidden="false" customHeight="true" outlineLevel="0" collapsed="false">
      <c r="A57" s="22" t="s">
        <v>57</v>
      </c>
      <c r="B57" s="22" t="s">
        <v>62</v>
      </c>
      <c r="C57" s="22" t="s">
        <v>260</v>
      </c>
    </row>
    <row r="58" customFormat="false" ht="15" hidden="false" customHeight="true" outlineLevel="0" collapsed="false">
      <c r="A58" s="22" t="s">
        <v>139</v>
      </c>
      <c r="B58" s="22" t="s">
        <v>261</v>
      </c>
      <c r="C58" s="22" t="s">
        <v>262</v>
      </c>
    </row>
    <row r="59" customFormat="false" ht="15" hidden="false" customHeight="true" outlineLevel="0" collapsed="false">
      <c r="A59" s="22" t="s">
        <v>139</v>
      </c>
      <c r="B59" s="22" t="s">
        <v>263</v>
      </c>
      <c r="C59" s="22" t="s">
        <v>264</v>
      </c>
    </row>
    <row r="60" customFormat="false" ht="15" hidden="false" customHeight="true" outlineLevel="0" collapsed="false">
      <c r="A60" s="22" t="s">
        <v>139</v>
      </c>
      <c r="B60" s="22" t="s">
        <v>265</v>
      </c>
      <c r="C60" s="22" t="s">
        <v>266</v>
      </c>
    </row>
    <row r="61" customFormat="false" ht="15" hidden="false" customHeight="true" outlineLevel="0" collapsed="false">
      <c r="A61" s="22" t="s">
        <v>139</v>
      </c>
      <c r="B61" s="22" t="s">
        <v>267</v>
      </c>
      <c r="C61" s="22" t="s">
        <v>268</v>
      </c>
    </row>
    <row r="62" customFormat="false" ht="15" hidden="false" customHeight="true" outlineLevel="0" collapsed="false">
      <c r="A62" s="22" t="s">
        <v>139</v>
      </c>
      <c r="B62" s="22" t="s">
        <v>269</v>
      </c>
      <c r="C62" s="22" t="s">
        <v>270</v>
      </c>
    </row>
    <row r="63" customFormat="false" ht="15" hidden="false" customHeight="true" outlineLevel="0" collapsed="false">
      <c r="A63" s="22" t="s">
        <v>139</v>
      </c>
      <c r="B63" s="22" t="s">
        <v>271</v>
      </c>
      <c r="C63" s="22" t="s">
        <v>272</v>
      </c>
    </row>
    <row r="64" customFormat="false" ht="15" hidden="false" customHeight="true" outlineLevel="0" collapsed="false">
      <c r="A64" s="22" t="s">
        <v>139</v>
      </c>
      <c r="B64" s="22" t="s">
        <v>273</v>
      </c>
      <c r="C64" s="22" t="s">
        <v>274</v>
      </c>
    </row>
    <row r="65" customFormat="false" ht="15" hidden="false" customHeight="true" outlineLevel="0" collapsed="false">
      <c r="A65" s="22" t="s">
        <v>139</v>
      </c>
      <c r="B65" s="22" t="s">
        <v>275</v>
      </c>
      <c r="C65" s="22" t="s">
        <v>276</v>
      </c>
    </row>
    <row r="66" customFormat="false" ht="15" hidden="false" customHeight="true" outlineLevel="0" collapsed="false">
      <c r="A66" s="22" t="s">
        <v>139</v>
      </c>
      <c r="B66" s="22" t="s">
        <v>277</v>
      </c>
      <c r="C66" s="22" t="s">
        <v>278</v>
      </c>
    </row>
    <row r="67" customFormat="false" ht="15" hidden="false" customHeight="true" outlineLevel="0" collapsed="false">
      <c r="A67" s="22" t="s">
        <v>139</v>
      </c>
      <c r="B67" s="22" t="s">
        <v>279</v>
      </c>
      <c r="C67" s="22" t="s">
        <v>280</v>
      </c>
    </row>
    <row r="68" customFormat="false" ht="15" hidden="false" customHeight="true" outlineLevel="0" collapsed="false">
      <c r="A68" s="22" t="s">
        <v>139</v>
      </c>
      <c r="B68" s="22" t="s">
        <v>281</v>
      </c>
      <c r="C68" s="22" t="s">
        <v>282</v>
      </c>
    </row>
    <row r="69" customFormat="false" ht="15" hidden="false" customHeight="true" outlineLevel="0" collapsed="false">
      <c r="A69" s="22" t="s">
        <v>139</v>
      </c>
      <c r="B69" s="22" t="s">
        <v>283</v>
      </c>
      <c r="C69" s="22" t="s">
        <v>284</v>
      </c>
    </row>
    <row r="70" customFormat="false" ht="15" hidden="false" customHeight="true" outlineLevel="0" collapsed="false">
      <c r="A70" s="22" t="s">
        <v>139</v>
      </c>
      <c r="B70" s="22" t="s">
        <v>285</v>
      </c>
      <c r="C70" s="22" t="s">
        <v>286</v>
      </c>
    </row>
    <row r="71" customFormat="false" ht="15" hidden="false" customHeight="true" outlineLevel="0" collapsed="false">
      <c r="A71" s="22" t="s">
        <v>139</v>
      </c>
      <c r="B71" s="22" t="s">
        <v>287</v>
      </c>
      <c r="C71" s="22" t="s">
        <v>288</v>
      </c>
    </row>
    <row r="72" customFormat="false" ht="15" hidden="false" customHeight="true" outlineLevel="0" collapsed="false">
      <c r="A72" s="22" t="s">
        <v>139</v>
      </c>
      <c r="B72" s="22" t="s">
        <v>289</v>
      </c>
      <c r="C72" s="22" t="s">
        <v>290</v>
      </c>
    </row>
    <row r="73" customFormat="false" ht="15" hidden="false" customHeight="true" outlineLevel="0" collapsed="false">
      <c r="A73" s="22" t="s">
        <v>139</v>
      </c>
      <c r="B73" s="22" t="s">
        <v>291</v>
      </c>
      <c r="C73" s="22" t="s">
        <v>292</v>
      </c>
    </row>
    <row r="74" customFormat="false" ht="15" hidden="false" customHeight="true" outlineLevel="0" collapsed="false">
      <c r="A74" s="23" t="s">
        <v>139</v>
      </c>
      <c r="B74" s="23" t="s">
        <v>293</v>
      </c>
      <c r="C74" s="23" t="s">
        <v>294</v>
      </c>
    </row>
    <row r="75" customFormat="false" ht="15" hidden="false" customHeight="true" outlineLevel="0" collapsed="false">
      <c r="A75" s="22" t="s">
        <v>142</v>
      </c>
      <c r="B75" s="22" t="s">
        <v>295</v>
      </c>
      <c r="C75" s="22" t="s">
        <v>296</v>
      </c>
    </row>
    <row r="76" customFormat="false" ht="15" hidden="false" customHeight="true" outlineLevel="0" collapsed="false">
      <c r="A76" s="22" t="s">
        <v>142</v>
      </c>
      <c r="B76" s="22" t="s">
        <v>297</v>
      </c>
      <c r="C76" s="22" t="s">
        <v>298</v>
      </c>
    </row>
    <row r="77" customFormat="false" ht="15" hidden="false" customHeight="true" outlineLevel="0" collapsed="false">
      <c r="A77" s="22" t="s">
        <v>142</v>
      </c>
      <c r="B77" s="22" t="s">
        <v>299</v>
      </c>
      <c r="C77" s="22" t="s">
        <v>300</v>
      </c>
    </row>
    <row r="78" customFormat="false" ht="15" hidden="false" customHeight="true" outlineLevel="0" collapsed="false">
      <c r="A78" s="22" t="s">
        <v>142</v>
      </c>
      <c r="B78" s="22" t="s">
        <v>301</v>
      </c>
      <c r="C78" s="22" t="s">
        <v>302</v>
      </c>
    </row>
    <row r="79" customFormat="false" ht="15" hidden="false" customHeight="true" outlineLevel="0" collapsed="false">
      <c r="A79" s="22" t="s">
        <v>142</v>
      </c>
      <c r="B79" s="22" t="s">
        <v>303</v>
      </c>
      <c r="C79" s="22" t="s">
        <v>304</v>
      </c>
    </row>
    <row r="80" customFormat="false" ht="15" hidden="false" customHeight="true" outlineLevel="0" collapsed="false">
      <c r="A80" s="22" t="s">
        <v>142</v>
      </c>
      <c r="B80" s="22" t="s">
        <v>305</v>
      </c>
      <c r="C80" s="22" t="s">
        <v>306</v>
      </c>
    </row>
    <row r="81" customFormat="false" ht="15" hidden="false" customHeight="true" outlineLevel="0" collapsed="false">
      <c r="A81" s="22" t="s">
        <v>142</v>
      </c>
      <c r="B81" s="22" t="s">
        <v>307</v>
      </c>
      <c r="C81" s="22" t="s">
        <v>308</v>
      </c>
    </row>
    <row r="82" customFormat="false" ht="15" hidden="false" customHeight="true" outlineLevel="0" collapsed="false">
      <c r="A82" s="22" t="s">
        <v>142</v>
      </c>
      <c r="B82" s="22" t="s">
        <v>309</v>
      </c>
      <c r="C82" s="22" t="s">
        <v>310</v>
      </c>
    </row>
    <row r="83" customFormat="false" ht="15" hidden="false" customHeight="true" outlineLevel="0" collapsed="false">
      <c r="A83" s="22" t="s">
        <v>142</v>
      </c>
      <c r="B83" s="22" t="s">
        <v>311</v>
      </c>
      <c r="C83" s="22" t="s">
        <v>312</v>
      </c>
    </row>
    <row r="84" customFormat="false" ht="15" hidden="false" customHeight="true" outlineLevel="0" collapsed="false">
      <c r="A84" s="22" t="s">
        <v>145</v>
      </c>
      <c r="B84" s="22" t="s">
        <v>313</v>
      </c>
      <c r="C84" s="22" t="s">
        <v>314</v>
      </c>
    </row>
    <row r="85" customFormat="false" ht="15" hidden="false" customHeight="true" outlineLevel="0" collapsed="false">
      <c r="A85" s="22" t="s">
        <v>145</v>
      </c>
      <c r="B85" s="22" t="s">
        <v>315</v>
      </c>
      <c r="C85" s="22" t="s">
        <v>316</v>
      </c>
    </row>
    <row r="86" customFormat="false" ht="15" hidden="false" customHeight="true" outlineLevel="0" collapsed="false">
      <c r="A86" s="22" t="s">
        <v>145</v>
      </c>
      <c r="B86" s="22" t="s">
        <v>317</v>
      </c>
      <c r="C86" s="22" t="s">
        <v>318</v>
      </c>
    </row>
    <row r="87" customFormat="false" ht="15" hidden="false" customHeight="true" outlineLevel="0" collapsed="false">
      <c r="A87" s="22" t="s">
        <v>145</v>
      </c>
      <c r="B87" s="22" t="s">
        <v>319</v>
      </c>
      <c r="C87" s="22" t="s">
        <v>320</v>
      </c>
    </row>
    <row r="88" customFormat="false" ht="15" hidden="false" customHeight="true" outlineLevel="0" collapsed="false">
      <c r="A88" s="22" t="s">
        <v>145</v>
      </c>
      <c r="B88" s="22" t="s">
        <v>321</v>
      </c>
      <c r="C88" s="22" t="s">
        <v>322</v>
      </c>
    </row>
    <row r="89" customFormat="false" ht="15" hidden="false" customHeight="true" outlineLevel="0" collapsed="false">
      <c r="A89" s="22" t="s">
        <v>145</v>
      </c>
      <c r="B89" s="22" t="s">
        <v>323</v>
      </c>
      <c r="C89" s="22" t="s">
        <v>324</v>
      </c>
    </row>
    <row r="90" customFormat="false" ht="15" hidden="false" customHeight="true" outlineLevel="0" collapsed="false">
      <c r="A90" s="22" t="s">
        <v>145</v>
      </c>
      <c r="B90" s="22" t="s">
        <v>325</v>
      </c>
      <c r="C90" s="22" t="s">
        <v>326</v>
      </c>
    </row>
    <row r="91" customFormat="false" ht="15" hidden="false" customHeight="true" outlineLevel="0" collapsed="false">
      <c r="A91" s="22" t="s">
        <v>148</v>
      </c>
      <c r="B91" s="22" t="s">
        <v>327</v>
      </c>
      <c r="C91" s="22" t="s">
        <v>328</v>
      </c>
    </row>
    <row r="92" customFormat="false" ht="15" hidden="false" customHeight="true" outlineLevel="0" collapsed="false">
      <c r="A92" s="22" t="s">
        <v>148</v>
      </c>
      <c r="B92" s="22" t="s">
        <v>329</v>
      </c>
      <c r="C92" s="22" t="s">
        <v>330</v>
      </c>
    </row>
    <row r="93" customFormat="false" ht="15" hidden="false" customHeight="true" outlineLevel="0" collapsed="false">
      <c r="A93" s="22" t="s">
        <v>154</v>
      </c>
      <c r="B93" s="22" t="s">
        <v>331</v>
      </c>
      <c r="C93" s="22" t="s">
        <v>332</v>
      </c>
    </row>
    <row r="94" customFormat="false" ht="15" hidden="false" customHeight="true" outlineLevel="0" collapsed="false">
      <c r="A94" s="22" t="s">
        <v>154</v>
      </c>
      <c r="B94" s="22" t="s">
        <v>333</v>
      </c>
      <c r="C94" s="22" t="s">
        <v>334</v>
      </c>
    </row>
    <row r="95" customFormat="false" ht="15" hidden="false" customHeight="true" outlineLevel="0" collapsed="false">
      <c r="A95" s="22" t="s">
        <v>157</v>
      </c>
      <c r="B95" s="22" t="s">
        <v>335</v>
      </c>
      <c r="C95" s="22" t="s">
        <v>336</v>
      </c>
    </row>
    <row r="96" customFormat="false" ht="15" hidden="false" customHeight="true" outlineLevel="0" collapsed="false">
      <c r="A96" s="22" t="s">
        <v>157</v>
      </c>
      <c r="B96" s="22" t="s">
        <v>337</v>
      </c>
      <c r="C96" s="22" t="s">
        <v>338</v>
      </c>
    </row>
    <row r="97" customFormat="false" ht="15" hidden="false" customHeight="true" outlineLevel="0" collapsed="false">
      <c r="A97" s="22" t="s">
        <v>159</v>
      </c>
      <c r="B97" s="22" t="s">
        <v>339</v>
      </c>
      <c r="C97" s="22" t="s">
        <v>340</v>
      </c>
    </row>
    <row r="98" customFormat="false" ht="15" hidden="false" customHeight="true" outlineLevel="0" collapsed="false">
      <c r="A98" s="22" t="s">
        <v>159</v>
      </c>
      <c r="B98" s="22" t="s">
        <v>341</v>
      </c>
      <c r="C98" s="22" t="s">
        <v>342</v>
      </c>
    </row>
    <row r="99" customFormat="false" ht="15" hidden="false" customHeight="true" outlineLevel="0" collapsed="false">
      <c r="A99" s="22" t="s">
        <v>161</v>
      </c>
      <c r="B99" s="22" t="s">
        <v>343</v>
      </c>
      <c r="C99" s="22" t="s">
        <v>344</v>
      </c>
    </row>
    <row r="100" customFormat="false" ht="15" hidden="false" customHeight="true" outlineLevel="0" collapsed="false">
      <c r="A100" s="22" t="s">
        <v>161</v>
      </c>
      <c r="B100" s="22" t="s">
        <v>345</v>
      </c>
      <c r="C100" s="22" t="s">
        <v>346</v>
      </c>
    </row>
    <row r="101" customFormat="false" ht="15" hidden="false" customHeight="true" outlineLevel="0" collapsed="false">
      <c r="A101" s="22" t="s">
        <v>161</v>
      </c>
      <c r="B101" s="22" t="s">
        <v>347</v>
      </c>
      <c r="C101" s="22" t="s">
        <v>348</v>
      </c>
    </row>
    <row r="102" customFormat="false" ht="15" hidden="false" customHeight="true" outlineLevel="0" collapsed="false">
      <c r="A102" s="22" t="s">
        <v>161</v>
      </c>
      <c r="B102" s="22" t="s">
        <v>349</v>
      </c>
      <c r="C102" s="22" t="s">
        <v>350</v>
      </c>
    </row>
    <row r="103" customFormat="false" ht="15" hidden="false" customHeight="true" outlineLevel="0" collapsed="false">
      <c r="A103" s="22" t="s">
        <v>161</v>
      </c>
      <c r="B103" s="22" t="s">
        <v>351</v>
      </c>
      <c r="C103" s="22" t="s">
        <v>352</v>
      </c>
    </row>
    <row r="104" customFormat="false" ht="15" hidden="false" customHeight="true" outlineLevel="0" collapsed="false">
      <c r="A104" s="22" t="s">
        <v>176</v>
      </c>
      <c r="B104" s="22" t="s">
        <v>353</v>
      </c>
      <c r="C104" s="22" t="s">
        <v>354</v>
      </c>
    </row>
    <row r="105" customFormat="false" ht="15" hidden="false" customHeight="true" outlineLevel="0" collapsed="false">
      <c r="A105" s="22" t="s">
        <v>176</v>
      </c>
      <c r="B105" s="22" t="s">
        <v>355</v>
      </c>
      <c r="C105" s="22" t="s">
        <v>356</v>
      </c>
    </row>
    <row r="106" customFormat="false" ht="15" hidden="false" customHeight="true" outlineLevel="0" collapsed="false">
      <c r="A106" s="22" t="s">
        <v>179</v>
      </c>
      <c r="B106" s="22" t="s">
        <v>84</v>
      </c>
      <c r="C106" s="22" t="s">
        <v>357</v>
      </c>
    </row>
    <row r="107" customFormat="false" ht="15" hidden="false" customHeight="true" outlineLevel="0" collapsed="false">
      <c r="A107" s="22" t="s">
        <v>179</v>
      </c>
      <c r="B107" s="22" t="s">
        <v>85</v>
      </c>
      <c r="C107" s="22" t="s">
        <v>358</v>
      </c>
    </row>
    <row r="108" customFormat="false" ht="15" hidden="false" customHeight="true" outlineLevel="0" collapsed="false">
      <c r="A108" s="22" t="s">
        <v>179</v>
      </c>
      <c r="B108" s="22" t="s">
        <v>86</v>
      </c>
      <c r="C108" s="22" t="s">
        <v>359</v>
      </c>
    </row>
    <row r="109" customFormat="false" ht="15" hidden="false" customHeight="true" outlineLevel="0" collapsed="false">
      <c r="A109" s="22" t="s">
        <v>179</v>
      </c>
      <c r="B109" s="22" t="s">
        <v>87</v>
      </c>
      <c r="C109" s="22" t="s">
        <v>360</v>
      </c>
    </row>
    <row r="110" customFormat="false" ht="15" hidden="false" customHeight="true" outlineLevel="0" collapsed="false">
      <c r="A110" s="22" t="s">
        <v>179</v>
      </c>
      <c r="B110" s="22" t="s">
        <v>88</v>
      </c>
      <c r="C110" s="22" t="s">
        <v>361</v>
      </c>
    </row>
    <row r="111" customFormat="false" ht="15" hidden="false" customHeight="true" outlineLevel="0" collapsed="false">
      <c r="A111" s="22" t="s">
        <v>179</v>
      </c>
      <c r="B111" s="22" t="s">
        <v>89</v>
      </c>
      <c r="C111" s="22" t="s">
        <v>362</v>
      </c>
    </row>
    <row r="112" customFormat="false" ht="15" hidden="false" customHeight="true" outlineLevel="0" collapsed="false">
      <c r="A112" s="22" t="s">
        <v>179</v>
      </c>
      <c r="B112" s="22" t="s">
        <v>90</v>
      </c>
      <c r="C112" s="22" t="s">
        <v>363</v>
      </c>
    </row>
    <row r="113" customFormat="false" ht="15" hidden="false" customHeight="false" outlineLevel="0" collapsed="false">
      <c r="A113" s="22" t="s">
        <v>179</v>
      </c>
      <c r="B113" s="22" t="s">
        <v>325</v>
      </c>
      <c r="C113" s="22" t="s">
        <v>364</v>
      </c>
    </row>
  </sheetData>
  <autoFilter ref="A3:C113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17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22"/>
    <col collapsed="false" customWidth="true" hidden="false" outlineLevel="0" max="11" min="11" style="1" width="46"/>
  </cols>
  <sheetData>
    <row r="1" customFormat="false" ht="17.25" hidden="false" customHeight="true" outlineLevel="0" collapsed="false">
      <c r="A1" s="2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23.25" hidden="false" customHeight="true" outlineLevel="0" collapsed="false">
      <c r="A3" s="21" t="s">
        <v>64</v>
      </c>
      <c r="B3" s="21" t="s">
        <v>366</v>
      </c>
      <c r="C3" s="21" t="s">
        <v>367</v>
      </c>
      <c r="D3" s="21" t="s">
        <v>26</v>
      </c>
      <c r="E3" s="21" t="s">
        <v>139</v>
      </c>
      <c r="F3" s="21" t="s">
        <v>142</v>
      </c>
      <c r="G3" s="21" t="s">
        <v>47</v>
      </c>
      <c r="H3" s="21" t="s">
        <v>123</v>
      </c>
      <c r="I3" s="21" t="s">
        <v>368</v>
      </c>
      <c r="J3" s="21" t="s">
        <v>57</v>
      </c>
      <c r="K3" s="21" t="s">
        <v>369</v>
      </c>
    </row>
    <row r="4" customFormat="false" ht="23.25" hidden="false" customHeight="true" outlineLevel="0" collapsed="false">
      <c r="A4" s="22" t="s">
        <v>65</v>
      </c>
      <c r="B4" s="22" t="s">
        <v>370</v>
      </c>
      <c r="C4" s="22" t="s">
        <v>371</v>
      </c>
      <c r="D4" s="22" t="s">
        <v>29</v>
      </c>
      <c r="E4" s="22" t="s">
        <v>372</v>
      </c>
      <c r="F4" s="22" t="s">
        <v>373</v>
      </c>
      <c r="G4" s="22" t="s">
        <v>49</v>
      </c>
      <c r="H4" s="22" t="s">
        <v>374</v>
      </c>
      <c r="I4" s="22" t="s">
        <v>375</v>
      </c>
      <c r="J4" s="22" t="s">
        <v>61</v>
      </c>
      <c r="K4" s="22" t="s">
        <v>376</v>
      </c>
    </row>
    <row r="5" customFormat="false" ht="15" hidden="false" customHeight="true" outlineLevel="0" collapsed="false">
      <c r="A5" s="22" t="s">
        <v>65</v>
      </c>
      <c r="B5" s="22" t="s">
        <v>370</v>
      </c>
      <c r="C5" s="22" t="s">
        <v>377</v>
      </c>
      <c r="D5" s="22" t="s">
        <v>29</v>
      </c>
      <c r="E5" s="22" t="s">
        <v>378</v>
      </c>
      <c r="F5" s="22" t="s">
        <v>299</v>
      </c>
      <c r="G5" s="22" t="s">
        <v>49</v>
      </c>
      <c r="H5" s="22" t="s">
        <v>374</v>
      </c>
      <c r="I5" s="22" t="s">
        <v>379</v>
      </c>
      <c r="J5" s="22" t="s">
        <v>61</v>
      </c>
      <c r="K5" s="22" t="s">
        <v>380</v>
      </c>
    </row>
    <row r="6" customFormat="false" ht="23.25" hidden="false" customHeight="true" outlineLevel="0" collapsed="false">
      <c r="A6" s="22" t="s">
        <v>65</v>
      </c>
      <c r="B6" s="22" t="s">
        <v>370</v>
      </c>
      <c r="C6" s="22" t="s">
        <v>381</v>
      </c>
      <c r="D6" s="22" t="s">
        <v>34</v>
      </c>
      <c r="E6" s="22" t="s">
        <v>382</v>
      </c>
      <c r="F6" s="22" t="s">
        <v>295</v>
      </c>
      <c r="G6" s="22" t="s">
        <v>49</v>
      </c>
      <c r="H6" s="22" t="s">
        <v>383</v>
      </c>
      <c r="I6" s="22" t="s">
        <v>384</v>
      </c>
      <c r="J6" s="22" t="s">
        <v>61</v>
      </c>
      <c r="K6" s="22" t="s">
        <v>385</v>
      </c>
    </row>
    <row r="7" customFormat="false" ht="23.25" hidden="false" customHeight="true" outlineLevel="0" collapsed="false">
      <c r="A7" s="22" t="s">
        <v>65</v>
      </c>
      <c r="B7" s="22" t="s">
        <v>370</v>
      </c>
      <c r="C7" s="22" t="s">
        <v>386</v>
      </c>
      <c r="D7" s="22" t="s">
        <v>35</v>
      </c>
      <c r="E7" s="22" t="s">
        <v>387</v>
      </c>
      <c r="F7" s="22" t="s">
        <v>295</v>
      </c>
      <c r="G7" s="22" t="s">
        <v>49</v>
      </c>
      <c r="H7" s="22" t="s">
        <v>383</v>
      </c>
      <c r="I7" s="22" t="s">
        <v>384</v>
      </c>
      <c r="J7" s="22" t="s">
        <v>61</v>
      </c>
      <c r="K7" s="22" t="s">
        <v>388</v>
      </c>
    </row>
    <row r="8" customFormat="false" ht="15" hidden="false" customHeight="true" outlineLevel="0" collapsed="false">
      <c r="A8" s="22" t="s">
        <v>65</v>
      </c>
      <c r="B8" s="22" t="s">
        <v>370</v>
      </c>
      <c r="C8" s="22" t="s">
        <v>389</v>
      </c>
      <c r="D8" s="22" t="s">
        <v>38</v>
      </c>
      <c r="E8" s="22" t="s">
        <v>390</v>
      </c>
      <c r="F8" s="22" t="s">
        <v>295</v>
      </c>
      <c r="G8" s="22" t="s">
        <v>49</v>
      </c>
      <c r="H8" s="22" t="s">
        <v>383</v>
      </c>
      <c r="I8" s="22" t="s">
        <v>384</v>
      </c>
      <c r="J8" s="22" t="s">
        <v>61</v>
      </c>
      <c r="K8" s="22" t="s">
        <v>391</v>
      </c>
    </row>
    <row r="9" customFormat="false" ht="23.25" hidden="false" customHeight="true" outlineLevel="0" collapsed="false">
      <c r="A9" s="22" t="s">
        <v>65</v>
      </c>
      <c r="B9" s="22" t="s">
        <v>370</v>
      </c>
      <c r="C9" s="22" t="s">
        <v>392</v>
      </c>
      <c r="D9" s="22" t="s">
        <v>30</v>
      </c>
      <c r="E9" s="22" t="s">
        <v>393</v>
      </c>
      <c r="F9" s="22" t="s">
        <v>295</v>
      </c>
      <c r="G9" s="22" t="s">
        <v>49</v>
      </c>
      <c r="H9" s="22" t="s">
        <v>213</v>
      </c>
      <c r="I9" s="22" t="s">
        <v>394</v>
      </c>
      <c r="J9" s="22" t="s">
        <v>59</v>
      </c>
      <c r="K9" s="22" t="s">
        <v>395</v>
      </c>
    </row>
    <row r="10" customFormat="false" ht="15" hidden="false" customHeight="true" outlineLevel="0" collapsed="false">
      <c r="A10" s="22" t="s">
        <v>65</v>
      </c>
      <c r="B10" s="22" t="s">
        <v>370</v>
      </c>
      <c r="C10" s="22" t="s">
        <v>396</v>
      </c>
      <c r="D10" s="22" t="s">
        <v>37</v>
      </c>
      <c r="E10" s="22" t="s">
        <v>397</v>
      </c>
      <c r="F10" s="22" t="s">
        <v>295</v>
      </c>
      <c r="G10" s="22" t="s">
        <v>49</v>
      </c>
      <c r="H10" s="22" t="s">
        <v>383</v>
      </c>
      <c r="I10" s="22" t="s">
        <v>384</v>
      </c>
      <c r="J10" s="22" t="s">
        <v>37</v>
      </c>
      <c r="K10" s="22" t="s">
        <v>398</v>
      </c>
    </row>
    <row r="11" customFormat="false" ht="23.25" hidden="false" customHeight="true" outlineLevel="0" collapsed="false">
      <c r="A11" s="22" t="s">
        <v>65</v>
      </c>
      <c r="B11" s="22" t="s">
        <v>370</v>
      </c>
      <c r="C11" s="22" t="s">
        <v>399</v>
      </c>
      <c r="D11" s="22" t="s">
        <v>30</v>
      </c>
      <c r="E11" s="22" t="s">
        <v>400</v>
      </c>
      <c r="F11" s="22" t="s">
        <v>401</v>
      </c>
      <c r="G11" s="22" t="s">
        <v>50</v>
      </c>
      <c r="H11" s="22" t="s">
        <v>383</v>
      </c>
      <c r="I11" s="22" t="s">
        <v>379</v>
      </c>
      <c r="J11" s="22" t="s">
        <v>30</v>
      </c>
      <c r="K11" s="22" t="s">
        <v>402</v>
      </c>
    </row>
    <row r="12" customFormat="false" ht="23.25" hidden="false" customHeight="true" outlineLevel="0" collapsed="false">
      <c r="A12" s="22" t="s">
        <v>65</v>
      </c>
      <c r="B12" s="22" t="s">
        <v>370</v>
      </c>
      <c r="C12" s="22" t="s">
        <v>403</v>
      </c>
      <c r="D12" s="22" t="s">
        <v>29</v>
      </c>
      <c r="E12" s="22" t="s">
        <v>404</v>
      </c>
      <c r="F12" s="22" t="s">
        <v>405</v>
      </c>
      <c r="G12" s="22" t="s">
        <v>49</v>
      </c>
      <c r="H12" s="22" t="s">
        <v>383</v>
      </c>
      <c r="I12" s="22" t="s">
        <v>379</v>
      </c>
      <c r="J12" s="22" t="s">
        <v>61</v>
      </c>
      <c r="K12" s="22" t="s">
        <v>406</v>
      </c>
    </row>
    <row r="13" customFormat="false" ht="23.25" hidden="false" customHeight="true" outlineLevel="0" collapsed="false">
      <c r="A13" s="22" t="s">
        <v>65</v>
      </c>
      <c r="B13" s="22" t="s">
        <v>370</v>
      </c>
      <c r="C13" s="22" t="s">
        <v>407</v>
      </c>
      <c r="D13" s="22" t="s">
        <v>31</v>
      </c>
      <c r="E13" s="22" t="s">
        <v>408</v>
      </c>
      <c r="F13" s="22" t="s">
        <v>295</v>
      </c>
      <c r="G13" s="22" t="s">
        <v>50</v>
      </c>
      <c r="H13" s="22" t="s">
        <v>383</v>
      </c>
      <c r="I13" s="22" t="s">
        <v>384</v>
      </c>
      <c r="J13" s="22" t="s">
        <v>58</v>
      </c>
      <c r="K13" s="22" t="s">
        <v>409</v>
      </c>
    </row>
    <row r="14" customFormat="false" ht="34.5" hidden="false" customHeight="true" outlineLevel="0" collapsed="false">
      <c r="A14" s="22" t="s">
        <v>65</v>
      </c>
      <c r="B14" s="22" t="s">
        <v>370</v>
      </c>
      <c r="C14" s="22" t="s">
        <v>410</v>
      </c>
      <c r="D14" s="22" t="s">
        <v>36</v>
      </c>
      <c r="E14" s="22" t="s">
        <v>411</v>
      </c>
      <c r="F14" s="22" t="s">
        <v>295</v>
      </c>
      <c r="G14" s="22" t="s">
        <v>49</v>
      </c>
      <c r="H14" s="22" t="s">
        <v>383</v>
      </c>
      <c r="I14" s="22" t="s">
        <v>412</v>
      </c>
      <c r="J14" s="22" t="s">
        <v>36</v>
      </c>
      <c r="K14" s="22" t="s">
        <v>413</v>
      </c>
    </row>
    <row r="15" customFormat="false" ht="23.25" hidden="false" customHeight="true" outlineLevel="0" collapsed="false">
      <c r="A15" s="22" t="s">
        <v>65</v>
      </c>
      <c r="B15" s="22" t="s">
        <v>370</v>
      </c>
      <c r="C15" s="22" t="s">
        <v>414</v>
      </c>
      <c r="D15" s="22" t="s">
        <v>29</v>
      </c>
      <c r="E15" s="22" t="s">
        <v>415</v>
      </c>
      <c r="F15" s="22" t="s">
        <v>295</v>
      </c>
      <c r="G15" s="22" t="s">
        <v>50</v>
      </c>
      <c r="H15" s="22" t="s">
        <v>215</v>
      </c>
      <c r="I15" s="22" t="s">
        <v>379</v>
      </c>
      <c r="J15" s="22" t="s">
        <v>61</v>
      </c>
      <c r="K15" s="22" t="s">
        <v>416</v>
      </c>
    </row>
    <row r="16" customFormat="false" ht="23.25" hidden="false" customHeight="true" outlineLevel="0" collapsed="false">
      <c r="A16" s="22" t="s">
        <v>65</v>
      </c>
      <c r="B16" s="22" t="s">
        <v>370</v>
      </c>
      <c r="C16" s="22" t="s">
        <v>417</v>
      </c>
      <c r="D16" s="22" t="s">
        <v>31</v>
      </c>
      <c r="E16" s="22" t="s">
        <v>408</v>
      </c>
      <c r="F16" s="22" t="s">
        <v>418</v>
      </c>
      <c r="G16" s="22" t="s">
        <v>50</v>
      </c>
      <c r="H16" s="22" t="s">
        <v>211</v>
      </c>
      <c r="I16" s="22" t="s">
        <v>379</v>
      </c>
      <c r="J16" s="22" t="s">
        <v>419</v>
      </c>
      <c r="K16" s="22" t="s">
        <v>420</v>
      </c>
    </row>
    <row r="17" customFormat="false" ht="23.25" hidden="false" customHeight="true" outlineLevel="0" collapsed="false">
      <c r="A17" s="22" t="s">
        <v>65</v>
      </c>
      <c r="B17" s="22" t="s">
        <v>370</v>
      </c>
      <c r="C17" s="22" t="s">
        <v>421</v>
      </c>
      <c r="D17" s="22" t="s">
        <v>32</v>
      </c>
      <c r="E17" s="22" t="s">
        <v>422</v>
      </c>
      <c r="F17" s="22" t="s">
        <v>423</v>
      </c>
      <c r="G17" s="22" t="s">
        <v>49</v>
      </c>
      <c r="H17" s="22" t="s">
        <v>383</v>
      </c>
      <c r="I17" s="22" t="s">
        <v>412</v>
      </c>
      <c r="J17" s="22" t="s">
        <v>36</v>
      </c>
      <c r="K17" s="22" t="s">
        <v>424</v>
      </c>
    </row>
    <row r="18" customFormat="false" ht="15" hidden="false" customHeight="true" outlineLevel="0" collapsed="false">
      <c r="A18" s="22" t="s">
        <v>65</v>
      </c>
      <c r="B18" s="22" t="s">
        <v>370</v>
      </c>
      <c r="C18" s="22" t="s">
        <v>425</v>
      </c>
      <c r="D18" s="22" t="s">
        <v>34</v>
      </c>
      <c r="E18" s="22" t="s">
        <v>426</v>
      </c>
      <c r="F18" s="22" t="s">
        <v>295</v>
      </c>
      <c r="G18" s="22" t="s">
        <v>49</v>
      </c>
      <c r="H18" s="22" t="s">
        <v>383</v>
      </c>
      <c r="I18" s="22" t="s">
        <v>384</v>
      </c>
      <c r="J18" s="22" t="s">
        <v>61</v>
      </c>
      <c r="K18" s="22" t="s">
        <v>427</v>
      </c>
    </row>
    <row r="19" customFormat="false" ht="23.25" hidden="false" customHeight="true" outlineLevel="0" collapsed="false">
      <c r="A19" s="22" t="s">
        <v>65</v>
      </c>
      <c r="B19" s="22" t="s">
        <v>370</v>
      </c>
      <c r="C19" s="22" t="s">
        <v>428</v>
      </c>
      <c r="D19" s="22" t="s">
        <v>29</v>
      </c>
      <c r="E19" s="22" t="s">
        <v>429</v>
      </c>
      <c r="F19" s="22" t="s">
        <v>295</v>
      </c>
      <c r="G19" s="22" t="s">
        <v>49</v>
      </c>
      <c r="H19" s="22" t="s">
        <v>383</v>
      </c>
      <c r="I19" s="22" t="s">
        <v>384</v>
      </c>
      <c r="J19" s="22" t="s">
        <v>61</v>
      </c>
      <c r="K19" s="22" t="s">
        <v>430</v>
      </c>
    </row>
    <row r="20" customFormat="false" ht="23.25" hidden="false" customHeight="true" outlineLevel="0" collapsed="false">
      <c r="A20" s="22" t="s">
        <v>65</v>
      </c>
      <c r="B20" s="22" t="s">
        <v>370</v>
      </c>
      <c r="C20" s="22" t="s">
        <v>431</v>
      </c>
      <c r="D20" s="22" t="s">
        <v>40</v>
      </c>
      <c r="E20" s="22" t="s">
        <v>432</v>
      </c>
      <c r="F20" s="22" t="s">
        <v>309</v>
      </c>
      <c r="G20" s="22" t="s">
        <v>55</v>
      </c>
      <c r="H20" s="22" t="s">
        <v>383</v>
      </c>
      <c r="I20" s="22" t="s">
        <v>384</v>
      </c>
      <c r="J20" s="22" t="s">
        <v>61</v>
      </c>
      <c r="K20" s="22" t="s">
        <v>433</v>
      </c>
    </row>
    <row r="21" customFormat="false" ht="23.25" hidden="false" customHeight="true" outlineLevel="0" collapsed="false">
      <c r="A21" s="22" t="s">
        <v>65</v>
      </c>
      <c r="B21" s="22" t="s">
        <v>370</v>
      </c>
      <c r="C21" s="22" t="s">
        <v>434</v>
      </c>
      <c r="D21" s="22" t="s">
        <v>33</v>
      </c>
      <c r="E21" s="22" t="s">
        <v>435</v>
      </c>
      <c r="F21" s="22" t="s">
        <v>295</v>
      </c>
      <c r="G21" s="22" t="s">
        <v>49</v>
      </c>
      <c r="H21" s="22" t="s">
        <v>383</v>
      </c>
      <c r="I21" s="22" t="s">
        <v>384</v>
      </c>
      <c r="J21" s="22" t="s">
        <v>62</v>
      </c>
      <c r="K21" s="22" t="s">
        <v>436</v>
      </c>
    </row>
    <row r="22" customFormat="false" ht="15" hidden="false" customHeight="true" outlineLevel="0" collapsed="false">
      <c r="A22" s="22" t="s">
        <v>65</v>
      </c>
      <c r="B22" s="22" t="s">
        <v>370</v>
      </c>
      <c r="C22" s="22" t="s">
        <v>437</v>
      </c>
      <c r="D22" s="22" t="s">
        <v>39</v>
      </c>
      <c r="E22" s="22" t="s">
        <v>438</v>
      </c>
      <c r="F22" s="22" t="s">
        <v>295</v>
      </c>
      <c r="G22" s="22" t="s">
        <v>49</v>
      </c>
      <c r="H22" s="22" t="s">
        <v>383</v>
      </c>
      <c r="I22" s="22" t="s">
        <v>384</v>
      </c>
      <c r="J22" s="22" t="s">
        <v>62</v>
      </c>
      <c r="K22" s="22" t="s">
        <v>439</v>
      </c>
    </row>
    <row r="23" customFormat="false" ht="15" hidden="false" customHeight="true" outlineLevel="0" collapsed="false">
      <c r="A23" s="22" t="s">
        <v>440</v>
      </c>
      <c r="B23" s="22" t="s">
        <v>370</v>
      </c>
      <c r="C23" s="22" t="s">
        <v>441</v>
      </c>
      <c r="D23" s="22" t="s">
        <v>29</v>
      </c>
      <c r="E23" s="22" t="s">
        <v>372</v>
      </c>
      <c r="F23" s="22" t="s">
        <v>442</v>
      </c>
      <c r="G23" s="22" t="s">
        <v>49</v>
      </c>
      <c r="H23" s="22" t="s">
        <v>374</v>
      </c>
      <c r="I23" s="22" t="s">
        <v>443</v>
      </c>
      <c r="J23" s="22" t="s">
        <v>61</v>
      </c>
      <c r="K23" s="22" t="s">
        <v>444</v>
      </c>
    </row>
    <row r="24" customFormat="false" ht="23.25" hidden="false" customHeight="true" outlineLevel="0" collapsed="false">
      <c r="A24" s="22" t="s">
        <v>440</v>
      </c>
      <c r="B24" s="22" t="s">
        <v>370</v>
      </c>
      <c r="C24" s="22" t="s">
        <v>445</v>
      </c>
      <c r="D24" s="22" t="s">
        <v>29</v>
      </c>
      <c r="E24" s="22" t="s">
        <v>446</v>
      </c>
      <c r="F24" s="22" t="s">
        <v>447</v>
      </c>
      <c r="G24" s="22" t="s">
        <v>49</v>
      </c>
      <c r="H24" s="22" t="s">
        <v>374</v>
      </c>
      <c r="I24" s="22" t="s">
        <v>443</v>
      </c>
      <c r="J24" s="22" t="s">
        <v>61</v>
      </c>
      <c r="K24" s="22" t="s">
        <v>448</v>
      </c>
    </row>
    <row r="25" customFormat="false" ht="15" hidden="false" customHeight="true" outlineLevel="0" collapsed="false">
      <c r="A25" s="22" t="s">
        <v>440</v>
      </c>
      <c r="B25" s="22" t="s">
        <v>370</v>
      </c>
      <c r="C25" s="22" t="s">
        <v>449</v>
      </c>
      <c r="D25" s="22" t="s">
        <v>30</v>
      </c>
      <c r="E25" s="22" t="s">
        <v>450</v>
      </c>
      <c r="F25" s="22" t="s">
        <v>295</v>
      </c>
      <c r="G25" s="22" t="s">
        <v>49</v>
      </c>
      <c r="H25" s="22" t="s">
        <v>213</v>
      </c>
      <c r="I25" s="22" t="s">
        <v>384</v>
      </c>
      <c r="J25" s="22" t="s">
        <v>59</v>
      </c>
      <c r="K25" s="22" t="s">
        <v>451</v>
      </c>
    </row>
    <row r="26" customFormat="false" ht="23.25" hidden="false" customHeight="true" outlineLevel="0" collapsed="false">
      <c r="A26" s="22" t="s">
        <v>440</v>
      </c>
      <c r="B26" s="22" t="s">
        <v>370</v>
      </c>
      <c r="C26" s="22" t="s">
        <v>452</v>
      </c>
      <c r="D26" s="22" t="s">
        <v>29</v>
      </c>
      <c r="E26" s="22" t="s">
        <v>453</v>
      </c>
      <c r="F26" s="22" t="s">
        <v>295</v>
      </c>
      <c r="G26" s="22" t="s">
        <v>49</v>
      </c>
      <c r="H26" s="22" t="s">
        <v>374</v>
      </c>
      <c r="I26" s="22" t="s">
        <v>454</v>
      </c>
      <c r="J26" s="22" t="s">
        <v>61</v>
      </c>
      <c r="K26" s="22" t="s">
        <v>455</v>
      </c>
    </row>
    <row r="27" customFormat="false" ht="15" hidden="false" customHeight="true" outlineLevel="0" collapsed="false">
      <c r="A27" s="22" t="s">
        <v>440</v>
      </c>
      <c r="B27" s="22" t="s">
        <v>370</v>
      </c>
      <c r="C27" s="22" t="s">
        <v>456</v>
      </c>
      <c r="D27" s="22" t="s">
        <v>34</v>
      </c>
      <c r="E27" s="22" t="s">
        <v>457</v>
      </c>
      <c r="F27" s="22" t="s">
        <v>458</v>
      </c>
      <c r="G27" s="22" t="s">
        <v>49</v>
      </c>
      <c r="H27" s="22" t="s">
        <v>383</v>
      </c>
      <c r="I27" s="22" t="s">
        <v>384</v>
      </c>
      <c r="J27" s="22" t="s">
        <v>61</v>
      </c>
      <c r="K27" s="22" t="s">
        <v>459</v>
      </c>
    </row>
    <row r="28" customFormat="false" ht="15" hidden="false" customHeight="true" outlineLevel="0" collapsed="false">
      <c r="A28" s="22" t="s">
        <v>440</v>
      </c>
      <c r="B28" s="22" t="s">
        <v>370</v>
      </c>
      <c r="C28" s="22" t="s">
        <v>460</v>
      </c>
      <c r="D28" s="22" t="s">
        <v>38</v>
      </c>
      <c r="E28" s="22" t="s">
        <v>461</v>
      </c>
      <c r="F28" s="22" t="s">
        <v>295</v>
      </c>
      <c r="G28" s="22" t="s">
        <v>49</v>
      </c>
      <c r="H28" s="22" t="s">
        <v>383</v>
      </c>
      <c r="I28" s="22" t="s">
        <v>384</v>
      </c>
      <c r="J28" s="22" t="s">
        <v>61</v>
      </c>
      <c r="K28" s="22" t="s">
        <v>462</v>
      </c>
    </row>
    <row r="29" customFormat="false" ht="23.25" hidden="false" customHeight="true" outlineLevel="0" collapsed="false">
      <c r="A29" s="22" t="s">
        <v>440</v>
      </c>
      <c r="B29" s="22" t="s">
        <v>370</v>
      </c>
      <c r="C29" s="22" t="s">
        <v>463</v>
      </c>
      <c r="D29" s="22" t="s">
        <v>29</v>
      </c>
      <c r="E29" s="22" t="s">
        <v>464</v>
      </c>
      <c r="F29" s="22" t="s">
        <v>295</v>
      </c>
      <c r="G29" s="22" t="s">
        <v>49</v>
      </c>
      <c r="H29" s="22" t="s">
        <v>383</v>
      </c>
      <c r="I29" s="22" t="s">
        <v>384</v>
      </c>
      <c r="J29" s="22" t="s">
        <v>61</v>
      </c>
      <c r="K29" s="22" t="s">
        <v>465</v>
      </c>
    </row>
    <row r="30" customFormat="false" ht="23.25" hidden="false" customHeight="true" outlineLevel="0" collapsed="false">
      <c r="A30" s="22" t="s">
        <v>440</v>
      </c>
      <c r="B30" s="22" t="s">
        <v>370</v>
      </c>
      <c r="C30" s="22" t="s">
        <v>466</v>
      </c>
      <c r="D30" s="22" t="s">
        <v>30</v>
      </c>
      <c r="E30" s="22" t="s">
        <v>467</v>
      </c>
      <c r="F30" s="22" t="s">
        <v>423</v>
      </c>
      <c r="G30" s="22" t="s">
        <v>50</v>
      </c>
      <c r="H30" s="22" t="s">
        <v>383</v>
      </c>
      <c r="I30" s="22" t="s">
        <v>379</v>
      </c>
      <c r="J30" s="22" t="s">
        <v>30</v>
      </c>
      <c r="K30" s="22" t="s">
        <v>468</v>
      </c>
    </row>
    <row r="31" customFormat="false" ht="23.25" hidden="false" customHeight="true" outlineLevel="0" collapsed="false">
      <c r="A31" s="22" t="s">
        <v>440</v>
      </c>
      <c r="B31" s="22" t="s">
        <v>370</v>
      </c>
      <c r="C31" s="22" t="s">
        <v>469</v>
      </c>
      <c r="D31" s="22" t="s">
        <v>31</v>
      </c>
      <c r="E31" s="22" t="s">
        <v>470</v>
      </c>
      <c r="F31" s="22" t="s">
        <v>471</v>
      </c>
      <c r="G31" s="22" t="s">
        <v>50</v>
      </c>
      <c r="H31" s="22" t="s">
        <v>211</v>
      </c>
      <c r="I31" s="22" t="s">
        <v>379</v>
      </c>
      <c r="J31" s="22" t="s">
        <v>61</v>
      </c>
      <c r="K31" s="22" t="s">
        <v>472</v>
      </c>
    </row>
    <row r="32" customFormat="false" ht="15" hidden="false" customHeight="true" outlineLevel="0" collapsed="false">
      <c r="A32" s="22" t="s">
        <v>440</v>
      </c>
      <c r="B32" s="22" t="s">
        <v>370</v>
      </c>
      <c r="C32" s="22" t="s">
        <v>473</v>
      </c>
      <c r="D32" s="22" t="s">
        <v>32</v>
      </c>
      <c r="E32" s="22" t="s">
        <v>422</v>
      </c>
      <c r="F32" s="22" t="s">
        <v>423</v>
      </c>
      <c r="G32" s="22" t="s">
        <v>49</v>
      </c>
      <c r="H32" s="22" t="s">
        <v>383</v>
      </c>
      <c r="I32" s="22" t="s">
        <v>412</v>
      </c>
      <c r="J32" s="22" t="s">
        <v>36</v>
      </c>
      <c r="K32" s="22" t="s">
        <v>474</v>
      </c>
    </row>
    <row r="33" customFormat="false" ht="23.25" hidden="false" customHeight="true" outlineLevel="0" collapsed="false">
      <c r="A33" s="22" t="s">
        <v>440</v>
      </c>
      <c r="B33" s="22" t="s">
        <v>370</v>
      </c>
      <c r="C33" s="22" t="s">
        <v>475</v>
      </c>
      <c r="D33" s="22" t="s">
        <v>33</v>
      </c>
      <c r="E33" s="22" t="s">
        <v>476</v>
      </c>
      <c r="F33" s="22" t="s">
        <v>295</v>
      </c>
      <c r="G33" s="22" t="s">
        <v>49</v>
      </c>
      <c r="H33" s="22" t="s">
        <v>383</v>
      </c>
      <c r="I33" s="22" t="s">
        <v>384</v>
      </c>
      <c r="J33" s="22" t="s">
        <v>62</v>
      </c>
      <c r="K33" s="22" t="s">
        <v>477</v>
      </c>
    </row>
    <row r="34" customFormat="false" ht="15" hidden="false" customHeight="true" outlineLevel="0" collapsed="false">
      <c r="A34" s="22" t="s">
        <v>440</v>
      </c>
      <c r="B34" s="22" t="s">
        <v>370</v>
      </c>
      <c r="C34" s="22" t="s">
        <v>478</v>
      </c>
      <c r="D34" s="22" t="s">
        <v>41</v>
      </c>
      <c r="E34" s="22" t="s">
        <v>479</v>
      </c>
      <c r="F34" s="22" t="s">
        <v>295</v>
      </c>
      <c r="G34" s="22" t="s">
        <v>49</v>
      </c>
      <c r="H34" s="22" t="s">
        <v>383</v>
      </c>
      <c r="I34" s="22" t="s">
        <v>384</v>
      </c>
      <c r="J34" s="22" t="s">
        <v>62</v>
      </c>
      <c r="K34" s="22" t="s">
        <v>480</v>
      </c>
    </row>
    <row r="35" customFormat="false" ht="15" hidden="false" customHeight="true" outlineLevel="0" collapsed="false">
      <c r="A35" s="22" t="s">
        <v>440</v>
      </c>
      <c r="B35" s="22" t="s">
        <v>370</v>
      </c>
      <c r="C35" s="22" t="s">
        <v>481</v>
      </c>
      <c r="D35" s="22" t="s">
        <v>39</v>
      </c>
      <c r="E35" s="22" t="s">
        <v>482</v>
      </c>
      <c r="F35" s="22" t="s">
        <v>295</v>
      </c>
      <c r="G35" s="22" t="s">
        <v>49</v>
      </c>
      <c r="H35" s="22" t="s">
        <v>383</v>
      </c>
      <c r="I35" s="22" t="s">
        <v>384</v>
      </c>
      <c r="J35" s="22" t="s">
        <v>62</v>
      </c>
      <c r="K35" s="22" t="s">
        <v>483</v>
      </c>
    </row>
    <row r="36" customFormat="false" ht="23.25" hidden="false" customHeight="true" outlineLevel="0" collapsed="false">
      <c r="A36" s="22" t="s">
        <v>440</v>
      </c>
      <c r="B36" s="22" t="s">
        <v>370</v>
      </c>
      <c r="C36" s="22" t="s">
        <v>484</v>
      </c>
      <c r="D36" s="22" t="s">
        <v>43</v>
      </c>
      <c r="E36" s="22" t="s">
        <v>485</v>
      </c>
      <c r="F36" s="22" t="s">
        <v>309</v>
      </c>
      <c r="G36" s="22" t="s">
        <v>383</v>
      </c>
      <c r="H36" s="22" t="s">
        <v>383</v>
      </c>
      <c r="I36" s="22" t="s">
        <v>384</v>
      </c>
      <c r="J36" s="22" t="s">
        <v>62</v>
      </c>
      <c r="K36" s="22" t="s">
        <v>486</v>
      </c>
    </row>
    <row r="37" customFormat="false" ht="23.25" hidden="false" customHeight="true" outlineLevel="0" collapsed="false">
      <c r="A37" s="22" t="s">
        <v>440</v>
      </c>
      <c r="B37" s="22" t="s">
        <v>370</v>
      </c>
      <c r="C37" s="22" t="s">
        <v>487</v>
      </c>
      <c r="D37" s="22" t="s">
        <v>40</v>
      </c>
      <c r="E37" s="22" t="s">
        <v>488</v>
      </c>
      <c r="F37" s="22" t="s">
        <v>309</v>
      </c>
      <c r="G37" s="22" t="s">
        <v>55</v>
      </c>
      <c r="H37" s="22" t="s">
        <v>383</v>
      </c>
      <c r="I37" s="22" t="s">
        <v>384</v>
      </c>
      <c r="J37" s="22" t="s">
        <v>61</v>
      </c>
      <c r="K37" s="22" t="s">
        <v>489</v>
      </c>
    </row>
    <row r="38" customFormat="false" ht="23.25" hidden="false" customHeight="true" outlineLevel="0" collapsed="false">
      <c r="A38" s="22" t="s">
        <v>490</v>
      </c>
      <c r="B38" s="22" t="s">
        <v>370</v>
      </c>
      <c r="C38" s="22" t="s">
        <v>491</v>
      </c>
      <c r="D38" s="22" t="s">
        <v>29</v>
      </c>
      <c r="E38" s="22" t="s">
        <v>372</v>
      </c>
      <c r="F38" s="22" t="s">
        <v>492</v>
      </c>
      <c r="G38" s="22" t="s">
        <v>49</v>
      </c>
      <c r="H38" s="22" t="s">
        <v>374</v>
      </c>
      <c r="I38" s="22" t="s">
        <v>493</v>
      </c>
      <c r="J38" s="22" t="s">
        <v>61</v>
      </c>
      <c r="K38" s="22" t="s">
        <v>494</v>
      </c>
    </row>
    <row r="39" customFormat="false" ht="23.25" hidden="false" customHeight="true" outlineLevel="0" collapsed="false">
      <c r="A39" s="22" t="s">
        <v>490</v>
      </c>
      <c r="B39" s="22" t="s">
        <v>370</v>
      </c>
      <c r="C39" s="22" t="s">
        <v>495</v>
      </c>
      <c r="D39" s="22" t="s">
        <v>29</v>
      </c>
      <c r="E39" s="22" t="s">
        <v>496</v>
      </c>
      <c r="F39" s="22" t="s">
        <v>295</v>
      </c>
      <c r="G39" s="22" t="s">
        <v>49</v>
      </c>
      <c r="H39" s="22" t="s">
        <v>374</v>
      </c>
      <c r="I39" s="22" t="s">
        <v>384</v>
      </c>
      <c r="J39" s="22" t="s">
        <v>61</v>
      </c>
      <c r="K39" s="22" t="s">
        <v>497</v>
      </c>
    </row>
    <row r="40" customFormat="false" ht="23.25" hidden="false" customHeight="true" outlineLevel="0" collapsed="false">
      <c r="A40" s="22" t="s">
        <v>490</v>
      </c>
      <c r="B40" s="22" t="s">
        <v>370</v>
      </c>
      <c r="C40" s="22" t="s">
        <v>498</v>
      </c>
      <c r="D40" s="22" t="s">
        <v>29</v>
      </c>
      <c r="E40" s="22" t="s">
        <v>499</v>
      </c>
      <c r="F40" s="22" t="s">
        <v>295</v>
      </c>
      <c r="G40" s="22" t="s">
        <v>49</v>
      </c>
      <c r="H40" s="22" t="s">
        <v>374</v>
      </c>
      <c r="I40" s="22" t="s">
        <v>384</v>
      </c>
      <c r="J40" s="22" t="s">
        <v>61</v>
      </c>
      <c r="K40" s="22" t="s">
        <v>500</v>
      </c>
    </row>
    <row r="41" customFormat="false" ht="23.25" hidden="false" customHeight="true" outlineLevel="0" collapsed="false">
      <c r="A41" s="22" t="s">
        <v>490</v>
      </c>
      <c r="B41" s="22" t="s">
        <v>370</v>
      </c>
      <c r="C41" s="22" t="s">
        <v>501</v>
      </c>
      <c r="D41" s="22" t="s">
        <v>34</v>
      </c>
      <c r="E41" s="22" t="s">
        <v>502</v>
      </c>
      <c r="F41" s="22" t="s">
        <v>295</v>
      </c>
      <c r="G41" s="22" t="s">
        <v>49</v>
      </c>
      <c r="H41" s="22" t="s">
        <v>383</v>
      </c>
      <c r="I41" s="22" t="s">
        <v>384</v>
      </c>
      <c r="J41" s="22" t="s">
        <v>61</v>
      </c>
      <c r="K41" s="22" t="s">
        <v>503</v>
      </c>
    </row>
    <row r="42" customFormat="false" ht="15" hidden="false" customHeight="true" outlineLevel="0" collapsed="false">
      <c r="A42" s="22" t="s">
        <v>490</v>
      </c>
      <c r="B42" s="22" t="s">
        <v>370</v>
      </c>
      <c r="C42" s="22" t="s">
        <v>504</v>
      </c>
      <c r="D42" s="22" t="s">
        <v>35</v>
      </c>
      <c r="E42" s="22" t="s">
        <v>505</v>
      </c>
      <c r="F42" s="22" t="s">
        <v>295</v>
      </c>
      <c r="G42" s="22" t="s">
        <v>49</v>
      </c>
      <c r="H42" s="22" t="s">
        <v>383</v>
      </c>
      <c r="I42" s="22" t="s">
        <v>384</v>
      </c>
      <c r="J42" s="22" t="s">
        <v>61</v>
      </c>
      <c r="K42" s="22" t="s">
        <v>506</v>
      </c>
    </row>
    <row r="43" customFormat="false" ht="23.25" hidden="false" customHeight="true" outlineLevel="0" collapsed="false">
      <c r="A43" s="22" t="s">
        <v>490</v>
      </c>
      <c r="B43" s="22" t="s">
        <v>370</v>
      </c>
      <c r="C43" s="22" t="s">
        <v>507</v>
      </c>
      <c r="D43" s="22" t="s">
        <v>35</v>
      </c>
      <c r="E43" s="22" t="s">
        <v>508</v>
      </c>
      <c r="F43" s="22" t="s">
        <v>295</v>
      </c>
      <c r="G43" s="22" t="s">
        <v>49</v>
      </c>
      <c r="H43" s="22" t="s">
        <v>383</v>
      </c>
      <c r="I43" s="22" t="s">
        <v>384</v>
      </c>
      <c r="J43" s="22" t="s">
        <v>61</v>
      </c>
      <c r="K43" s="22" t="s">
        <v>509</v>
      </c>
    </row>
    <row r="44" customFormat="false" ht="23.25" hidden="false" customHeight="true" outlineLevel="0" collapsed="false">
      <c r="A44" s="22" t="s">
        <v>490</v>
      </c>
      <c r="B44" s="22" t="s">
        <v>370</v>
      </c>
      <c r="C44" s="22" t="s">
        <v>510</v>
      </c>
      <c r="D44" s="22" t="s">
        <v>34</v>
      </c>
      <c r="E44" s="22" t="s">
        <v>511</v>
      </c>
      <c r="F44" s="22" t="s">
        <v>295</v>
      </c>
      <c r="G44" s="22" t="s">
        <v>49</v>
      </c>
      <c r="H44" s="22" t="s">
        <v>383</v>
      </c>
      <c r="I44" s="22" t="s">
        <v>384</v>
      </c>
      <c r="J44" s="22" t="s">
        <v>61</v>
      </c>
      <c r="K44" s="22" t="s">
        <v>512</v>
      </c>
    </row>
    <row r="45" customFormat="false" ht="15" hidden="false" customHeight="true" outlineLevel="0" collapsed="false">
      <c r="A45" s="22" t="s">
        <v>490</v>
      </c>
      <c r="B45" s="22" t="s">
        <v>370</v>
      </c>
      <c r="C45" s="22" t="s">
        <v>513</v>
      </c>
      <c r="D45" s="22" t="s">
        <v>34</v>
      </c>
      <c r="E45" s="22" t="s">
        <v>514</v>
      </c>
      <c r="F45" s="22" t="s">
        <v>295</v>
      </c>
      <c r="G45" s="22" t="s">
        <v>49</v>
      </c>
      <c r="H45" s="22" t="s">
        <v>383</v>
      </c>
      <c r="I45" s="22" t="s">
        <v>384</v>
      </c>
      <c r="J45" s="22" t="s">
        <v>61</v>
      </c>
      <c r="K45" s="22" t="s">
        <v>515</v>
      </c>
    </row>
    <row r="46" customFormat="false" ht="23.25" hidden="false" customHeight="true" outlineLevel="0" collapsed="false">
      <c r="A46" s="22" t="s">
        <v>490</v>
      </c>
      <c r="B46" s="22" t="s">
        <v>370</v>
      </c>
      <c r="C46" s="22" t="s">
        <v>516</v>
      </c>
      <c r="D46" s="22" t="s">
        <v>30</v>
      </c>
      <c r="E46" s="22" t="s">
        <v>517</v>
      </c>
      <c r="F46" s="22" t="s">
        <v>518</v>
      </c>
      <c r="G46" s="22" t="s">
        <v>50</v>
      </c>
      <c r="H46" s="22" t="s">
        <v>383</v>
      </c>
      <c r="I46" s="22" t="s">
        <v>379</v>
      </c>
      <c r="J46" s="22" t="s">
        <v>30</v>
      </c>
      <c r="K46" s="22" t="s">
        <v>519</v>
      </c>
    </row>
    <row r="47" customFormat="false" ht="23.25" hidden="false" customHeight="true" outlineLevel="0" collapsed="false">
      <c r="A47" s="22" t="s">
        <v>490</v>
      </c>
      <c r="B47" s="22" t="s">
        <v>370</v>
      </c>
      <c r="C47" s="22" t="s">
        <v>520</v>
      </c>
      <c r="D47" s="22" t="s">
        <v>29</v>
      </c>
      <c r="E47" s="22" t="s">
        <v>521</v>
      </c>
      <c r="F47" s="22" t="s">
        <v>295</v>
      </c>
      <c r="G47" s="22" t="s">
        <v>49</v>
      </c>
      <c r="H47" s="22" t="s">
        <v>383</v>
      </c>
      <c r="I47" s="22" t="s">
        <v>412</v>
      </c>
      <c r="J47" s="22" t="s">
        <v>522</v>
      </c>
      <c r="K47" s="22" t="s">
        <v>523</v>
      </c>
    </row>
    <row r="48" customFormat="false" ht="15" hidden="false" customHeight="true" outlineLevel="0" collapsed="false">
      <c r="A48" s="22" t="s">
        <v>490</v>
      </c>
      <c r="B48" s="22" t="s">
        <v>370</v>
      </c>
      <c r="C48" s="22" t="s">
        <v>524</v>
      </c>
      <c r="D48" s="22" t="s">
        <v>30</v>
      </c>
      <c r="E48" s="22" t="s">
        <v>525</v>
      </c>
      <c r="F48" s="22" t="s">
        <v>295</v>
      </c>
      <c r="G48" s="22" t="s">
        <v>49</v>
      </c>
      <c r="H48" s="22" t="s">
        <v>383</v>
      </c>
      <c r="I48" s="22" t="s">
        <v>384</v>
      </c>
      <c r="J48" s="22" t="s">
        <v>30</v>
      </c>
      <c r="K48" s="22" t="s">
        <v>526</v>
      </c>
    </row>
    <row r="49" customFormat="false" ht="23.25" hidden="false" customHeight="true" outlineLevel="0" collapsed="false">
      <c r="A49" s="22" t="s">
        <v>490</v>
      </c>
      <c r="B49" s="22" t="s">
        <v>370</v>
      </c>
      <c r="C49" s="22" t="s">
        <v>527</v>
      </c>
      <c r="D49" s="22" t="s">
        <v>36</v>
      </c>
      <c r="E49" s="22" t="s">
        <v>528</v>
      </c>
      <c r="F49" s="22" t="s">
        <v>295</v>
      </c>
      <c r="G49" s="22" t="s">
        <v>49</v>
      </c>
      <c r="H49" s="22" t="s">
        <v>383</v>
      </c>
      <c r="I49" s="22" t="s">
        <v>384</v>
      </c>
      <c r="J49" s="22" t="s">
        <v>529</v>
      </c>
      <c r="K49" s="22" t="s">
        <v>530</v>
      </c>
    </row>
    <row r="50" customFormat="false" ht="23.25" hidden="false" customHeight="true" outlineLevel="0" collapsed="false">
      <c r="A50" s="22" t="s">
        <v>490</v>
      </c>
      <c r="B50" s="22" t="s">
        <v>370</v>
      </c>
      <c r="C50" s="22" t="s">
        <v>531</v>
      </c>
      <c r="D50" s="22" t="s">
        <v>31</v>
      </c>
      <c r="E50" s="22" t="s">
        <v>408</v>
      </c>
      <c r="F50" s="22" t="s">
        <v>295</v>
      </c>
      <c r="G50" s="22" t="s">
        <v>50</v>
      </c>
      <c r="H50" s="22" t="s">
        <v>383</v>
      </c>
      <c r="I50" s="22" t="s">
        <v>384</v>
      </c>
      <c r="J50" s="22" t="s">
        <v>58</v>
      </c>
      <c r="K50" s="22" t="s">
        <v>532</v>
      </c>
    </row>
    <row r="51" customFormat="false" ht="23.25" hidden="false" customHeight="true" outlineLevel="0" collapsed="false">
      <c r="A51" s="22" t="s">
        <v>490</v>
      </c>
      <c r="B51" s="22" t="s">
        <v>370</v>
      </c>
      <c r="C51" s="22" t="s">
        <v>533</v>
      </c>
      <c r="D51" s="22" t="s">
        <v>31</v>
      </c>
      <c r="E51" s="22" t="s">
        <v>534</v>
      </c>
      <c r="F51" s="22" t="s">
        <v>535</v>
      </c>
      <c r="G51" s="22" t="s">
        <v>50</v>
      </c>
      <c r="H51" s="22" t="s">
        <v>211</v>
      </c>
      <c r="I51" s="22" t="s">
        <v>379</v>
      </c>
      <c r="J51" s="22" t="s">
        <v>419</v>
      </c>
      <c r="K51" s="22" t="s">
        <v>536</v>
      </c>
    </row>
    <row r="52" customFormat="false" ht="23.25" hidden="false" customHeight="true" outlineLevel="0" collapsed="false">
      <c r="A52" s="22" t="s">
        <v>490</v>
      </c>
      <c r="B52" s="22" t="s">
        <v>370</v>
      </c>
      <c r="C52" s="22" t="s">
        <v>537</v>
      </c>
      <c r="D52" s="22" t="s">
        <v>32</v>
      </c>
      <c r="E52" s="22" t="s">
        <v>538</v>
      </c>
      <c r="F52" s="22" t="s">
        <v>295</v>
      </c>
      <c r="G52" s="22" t="s">
        <v>49</v>
      </c>
      <c r="H52" s="22" t="s">
        <v>383</v>
      </c>
      <c r="I52" s="22" t="s">
        <v>412</v>
      </c>
      <c r="J52" s="22" t="s">
        <v>36</v>
      </c>
      <c r="K52" s="22" t="s">
        <v>539</v>
      </c>
    </row>
    <row r="53" customFormat="false" ht="23.25" hidden="false" customHeight="true" outlineLevel="0" collapsed="false">
      <c r="A53" s="22" t="s">
        <v>490</v>
      </c>
      <c r="B53" s="22" t="s">
        <v>370</v>
      </c>
      <c r="C53" s="22" t="s">
        <v>540</v>
      </c>
      <c r="D53" s="22" t="s">
        <v>33</v>
      </c>
      <c r="E53" s="22" t="s">
        <v>476</v>
      </c>
      <c r="F53" s="22" t="s">
        <v>295</v>
      </c>
      <c r="G53" s="22" t="s">
        <v>49</v>
      </c>
      <c r="H53" s="22" t="s">
        <v>383</v>
      </c>
      <c r="I53" s="22" t="s">
        <v>384</v>
      </c>
      <c r="J53" s="22" t="s">
        <v>62</v>
      </c>
      <c r="K53" s="22" t="s">
        <v>541</v>
      </c>
    </row>
    <row r="54" customFormat="false" ht="15" hidden="false" customHeight="true" outlineLevel="0" collapsed="false">
      <c r="A54" s="22" t="s">
        <v>490</v>
      </c>
      <c r="B54" s="22" t="s">
        <v>370</v>
      </c>
      <c r="C54" s="22" t="s">
        <v>542</v>
      </c>
      <c r="D54" s="22" t="s">
        <v>39</v>
      </c>
      <c r="E54" s="22" t="s">
        <v>435</v>
      </c>
      <c r="F54" s="22" t="s">
        <v>295</v>
      </c>
      <c r="G54" s="22" t="s">
        <v>49</v>
      </c>
      <c r="H54" s="22" t="s">
        <v>383</v>
      </c>
      <c r="I54" s="22" t="s">
        <v>384</v>
      </c>
      <c r="J54" s="22" t="s">
        <v>62</v>
      </c>
      <c r="K54" s="22" t="s">
        <v>483</v>
      </c>
    </row>
    <row r="55" customFormat="false" ht="23.25" hidden="false" customHeight="true" outlineLevel="0" collapsed="false">
      <c r="A55" s="22" t="s">
        <v>490</v>
      </c>
      <c r="B55" s="22" t="s">
        <v>370</v>
      </c>
      <c r="C55" s="22" t="s">
        <v>543</v>
      </c>
      <c r="D55" s="22" t="s">
        <v>29</v>
      </c>
      <c r="E55" s="22" t="s">
        <v>544</v>
      </c>
      <c r="F55" s="22" t="s">
        <v>295</v>
      </c>
      <c r="G55" s="22" t="s">
        <v>48</v>
      </c>
      <c r="H55" s="22" t="s">
        <v>207</v>
      </c>
      <c r="I55" s="22" t="s">
        <v>384</v>
      </c>
      <c r="J55" s="22" t="s">
        <v>545</v>
      </c>
      <c r="K55" s="22" t="s">
        <v>546</v>
      </c>
    </row>
    <row r="56" customFormat="false" ht="23.25" hidden="false" customHeight="true" outlineLevel="0" collapsed="false">
      <c r="A56" s="22" t="s">
        <v>490</v>
      </c>
      <c r="B56" s="22" t="s">
        <v>370</v>
      </c>
      <c r="C56" s="22" t="s">
        <v>547</v>
      </c>
      <c r="D56" s="22" t="s">
        <v>40</v>
      </c>
      <c r="E56" s="22" t="s">
        <v>488</v>
      </c>
      <c r="F56" s="22" t="s">
        <v>309</v>
      </c>
      <c r="G56" s="22" t="s">
        <v>55</v>
      </c>
      <c r="H56" s="22" t="s">
        <v>383</v>
      </c>
      <c r="I56" s="22" t="s">
        <v>384</v>
      </c>
      <c r="J56" s="22" t="s">
        <v>61</v>
      </c>
      <c r="K56" s="22" t="s">
        <v>548</v>
      </c>
    </row>
    <row r="57" customFormat="false" ht="23.25" hidden="false" customHeight="true" outlineLevel="0" collapsed="false">
      <c r="A57" s="22" t="s">
        <v>66</v>
      </c>
      <c r="B57" s="22" t="s">
        <v>549</v>
      </c>
      <c r="C57" s="22" t="s">
        <v>550</v>
      </c>
      <c r="D57" s="22" t="s">
        <v>29</v>
      </c>
      <c r="E57" s="22" t="s">
        <v>551</v>
      </c>
      <c r="F57" s="22" t="s">
        <v>552</v>
      </c>
      <c r="G57" s="22" t="s">
        <v>48</v>
      </c>
      <c r="H57" s="22" t="s">
        <v>207</v>
      </c>
      <c r="I57" s="22" t="s">
        <v>384</v>
      </c>
      <c r="J57" s="22" t="s">
        <v>61</v>
      </c>
      <c r="K57" s="22" t="s">
        <v>553</v>
      </c>
    </row>
    <row r="58" customFormat="false" ht="23.25" hidden="false" customHeight="true" outlineLevel="0" collapsed="false">
      <c r="A58" s="22" t="s">
        <v>66</v>
      </c>
      <c r="B58" s="22" t="s">
        <v>549</v>
      </c>
      <c r="C58" s="22" t="s">
        <v>554</v>
      </c>
      <c r="D58" s="22" t="s">
        <v>29</v>
      </c>
      <c r="E58" s="22" t="s">
        <v>555</v>
      </c>
      <c r="F58" s="22" t="s">
        <v>552</v>
      </c>
      <c r="G58" s="22" t="s">
        <v>48</v>
      </c>
      <c r="H58" s="22" t="s">
        <v>207</v>
      </c>
      <c r="I58" s="22" t="s">
        <v>384</v>
      </c>
      <c r="J58" s="22" t="s">
        <v>61</v>
      </c>
      <c r="K58" s="22" t="s">
        <v>556</v>
      </c>
    </row>
    <row r="59" customFormat="false" ht="23.25" hidden="false" customHeight="true" outlineLevel="0" collapsed="false">
      <c r="A59" s="22" t="s">
        <v>66</v>
      </c>
      <c r="B59" s="22" t="s">
        <v>549</v>
      </c>
      <c r="C59" s="22" t="s">
        <v>557</v>
      </c>
      <c r="D59" s="22" t="s">
        <v>29</v>
      </c>
      <c r="E59" s="22" t="s">
        <v>558</v>
      </c>
      <c r="F59" s="22" t="s">
        <v>295</v>
      </c>
      <c r="G59" s="22" t="s">
        <v>48</v>
      </c>
      <c r="H59" s="22" t="s">
        <v>207</v>
      </c>
      <c r="I59" s="22" t="s">
        <v>384</v>
      </c>
      <c r="J59" s="22" t="s">
        <v>61</v>
      </c>
      <c r="K59" s="22" t="s">
        <v>559</v>
      </c>
    </row>
    <row r="60" customFormat="false" ht="15" hidden="false" customHeight="true" outlineLevel="0" collapsed="false">
      <c r="A60" s="22" t="s">
        <v>66</v>
      </c>
      <c r="B60" s="22" t="s">
        <v>549</v>
      </c>
      <c r="C60" s="22" t="s">
        <v>560</v>
      </c>
      <c r="D60" s="22" t="s">
        <v>29</v>
      </c>
      <c r="E60" s="22" t="s">
        <v>561</v>
      </c>
      <c r="F60" s="22" t="s">
        <v>297</v>
      </c>
      <c r="G60" s="22" t="s">
        <v>48</v>
      </c>
      <c r="H60" s="22" t="s">
        <v>207</v>
      </c>
      <c r="I60" s="22" t="s">
        <v>384</v>
      </c>
      <c r="J60" s="22" t="s">
        <v>60</v>
      </c>
      <c r="K60" s="22" t="s">
        <v>562</v>
      </c>
    </row>
    <row r="61" customFormat="false" ht="15" hidden="false" customHeight="true" outlineLevel="0" collapsed="false">
      <c r="A61" s="22" t="s">
        <v>66</v>
      </c>
      <c r="B61" s="22" t="s">
        <v>549</v>
      </c>
      <c r="C61" s="22" t="s">
        <v>563</v>
      </c>
      <c r="D61" s="22" t="s">
        <v>29</v>
      </c>
      <c r="E61" s="22" t="s">
        <v>564</v>
      </c>
      <c r="F61" s="22" t="s">
        <v>301</v>
      </c>
      <c r="G61" s="22" t="s">
        <v>48</v>
      </c>
      <c r="H61" s="22" t="s">
        <v>207</v>
      </c>
      <c r="I61" s="22" t="s">
        <v>384</v>
      </c>
      <c r="J61" s="22" t="s">
        <v>61</v>
      </c>
      <c r="K61" s="22" t="s">
        <v>565</v>
      </c>
    </row>
    <row r="62" customFormat="false" ht="15" hidden="false" customHeight="true" outlineLevel="0" collapsed="false">
      <c r="A62" s="22" t="s">
        <v>66</v>
      </c>
      <c r="B62" s="22" t="s">
        <v>549</v>
      </c>
      <c r="C62" s="22" t="s">
        <v>566</v>
      </c>
      <c r="D62" s="22" t="s">
        <v>29</v>
      </c>
      <c r="E62" s="22" t="s">
        <v>567</v>
      </c>
      <c r="F62" s="22" t="s">
        <v>568</v>
      </c>
      <c r="G62" s="22" t="s">
        <v>48</v>
      </c>
      <c r="H62" s="22" t="s">
        <v>207</v>
      </c>
      <c r="I62" s="22" t="s">
        <v>384</v>
      </c>
      <c r="J62" s="22" t="s">
        <v>36</v>
      </c>
      <c r="K62" s="22" t="s">
        <v>569</v>
      </c>
    </row>
    <row r="63" customFormat="false" ht="15" hidden="false" customHeight="true" outlineLevel="0" collapsed="false">
      <c r="A63" s="22" t="s">
        <v>66</v>
      </c>
      <c r="B63" s="22" t="s">
        <v>549</v>
      </c>
      <c r="C63" s="22" t="s">
        <v>570</v>
      </c>
      <c r="D63" s="22" t="s">
        <v>29</v>
      </c>
      <c r="E63" s="22" t="s">
        <v>571</v>
      </c>
      <c r="F63" s="22" t="s">
        <v>295</v>
      </c>
      <c r="G63" s="22" t="s">
        <v>48</v>
      </c>
      <c r="H63" s="22" t="s">
        <v>207</v>
      </c>
      <c r="I63" s="22" t="s">
        <v>384</v>
      </c>
      <c r="J63" s="22" t="s">
        <v>61</v>
      </c>
      <c r="K63" s="22" t="s">
        <v>572</v>
      </c>
    </row>
    <row r="64" customFormat="false" ht="23.25" hidden="false" customHeight="true" outlineLevel="0" collapsed="false">
      <c r="A64" s="22" t="s">
        <v>66</v>
      </c>
      <c r="B64" s="22" t="s">
        <v>549</v>
      </c>
      <c r="C64" s="22" t="s">
        <v>573</v>
      </c>
      <c r="D64" s="22" t="s">
        <v>29</v>
      </c>
      <c r="E64" s="22" t="s">
        <v>574</v>
      </c>
      <c r="F64" s="22" t="s">
        <v>295</v>
      </c>
      <c r="G64" s="22" t="s">
        <v>48</v>
      </c>
      <c r="H64" s="22" t="s">
        <v>207</v>
      </c>
      <c r="I64" s="22" t="s">
        <v>384</v>
      </c>
      <c r="J64" s="22" t="s">
        <v>61</v>
      </c>
      <c r="K64" s="22" t="s">
        <v>575</v>
      </c>
    </row>
    <row r="65" customFormat="false" ht="23.25" hidden="false" customHeight="true" outlineLevel="0" collapsed="false">
      <c r="A65" s="22" t="s">
        <v>66</v>
      </c>
      <c r="B65" s="22" t="s">
        <v>549</v>
      </c>
      <c r="C65" s="22" t="s">
        <v>576</v>
      </c>
      <c r="D65" s="22" t="s">
        <v>34</v>
      </c>
      <c r="E65" s="22" t="s">
        <v>577</v>
      </c>
      <c r="F65" s="22" t="s">
        <v>295</v>
      </c>
      <c r="G65" s="22" t="s">
        <v>48</v>
      </c>
      <c r="H65" s="22" t="s">
        <v>207</v>
      </c>
      <c r="I65" s="22" t="s">
        <v>384</v>
      </c>
      <c r="J65" s="22" t="s">
        <v>61</v>
      </c>
      <c r="K65" s="22" t="s">
        <v>578</v>
      </c>
    </row>
    <row r="66" customFormat="false" ht="23.25" hidden="false" customHeight="true" outlineLevel="0" collapsed="false">
      <c r="A66" s="22" t="s">
        <v>66</v>
      </c>
      <c r="B66" s="22" t="s">
        <v>549</v>
      </c>
      <c r="C66" s="22" t="s">
        <v>579</v>
      </c>
      <c r="D66" s="22" t="s">
        <v>34</v>
      </c>
      <c r="E66" s="22" t="s">
        <v>580</v>
      </c>
      <c r="F66" s="22" t="s">
        <v>295</v>
      </c>
      <c r="G66" s="22" t="s">
        <v>48</v>
      </c>
      <c r="H66" s="22" t="s">
        <v>207</v>
      </c>
      <c r="I66" s="22" t="s">
        <v>384</v>
      </c>
      <c r="J66" s="22" t="s">
        <v>61</v>
      </c>
      <c r="K66" s="22" t="s">
        <v>581</v>
      </c>
    </row>
    <row r="67" customFormat="false" ht="15" hidden="false" customHeight="true" outlineLevel="0" collapsed="false">
      <c r="A67" s="22" t="s">
        <v>66</v>
      </c>
      <c r="B67" s="22" t="s">
        <v>549</v>
      </c>
      <c r="C67" s="22" t="s">
        <v>582</v>
      </c>
      <c r="D67" s="22" t="s">
        <v>35</v>
      </c>
      <c r="E67" s="22" t="s">
        <v>583</v>
      </c>
      <c r="F67" s="22" t="s">
        <v>295</v>
      </c>
      <c r="G67" s="22" t="s">
        <v>48</v>
      </c>
      <c r="H67" s="22" t="s">
        <v>207</v>
      </c>
      <c r="I67" s="22" t="s">
        <v>384</v>
      </c>
      <c r="J67" s="22" t="s">
        <v>61</v>
      </c>
      <c r="K67" s="22" t="s">
        <v>584</v>
      </c>
    </row>
    <row r="68" customFormat="false" ht="23.25" hidden="false" customHeight="true" outlineLevel="0" collapsed="false">
      <c r="A68" s="22" t="s">
        <v>66</v>
      </c>
      <c r="B68" s="22" t="s">
        <v>549</v>
      </c>
      <c r="C68" s="22" t="s">
        <v>585</v>
      </c>
      <c r="D68" s="22" t="s">
        <v>30</v>
      </c>
      <c r="E68" s="22" t="s">
        <v>586</v>
      </c>
      <c r="F68" s="22" t="s">
        <v>295</v>
      </c>
      <c r="G68" s="22" t="s">
        <v>48</v>
      </c>
      <c r="H68" s="22" t="s">
        <v>213</v>
      </c>
      <c r="I68" s="22" t="s">
        <v>384</v>
      </c>
      <c r="J68" s="22" t="s">
        <v>59</v>
      </c>
      <c r="K68" s="22" t="s">
        <v>587</v>
      </c>
    </row>
    <row r="69" customFormat="false" ht="15" hidden="false" customHeight="true" outlineLevel="0" collapsed="false">
      <c r="A69" s="22" t="s">
        <v>66</v>
      </c>
      <c r="B69" s="22" t="s">
        <v>549</v>
      </c>
      <c r="C69" s="22" t="s">
        <v>588</v>
      </c>
      <c r="D69" s="22" t="s">
        <v>29</v>
      </c>
      <c r="E69" s="22" t="s">
        <v>589</v>
      </c>
      <c r="F69" s="22" t="s">
        <v>295</v>
      </c>
      <c r="G69" s="22" t="s">
        <v>48</v>
      </c>
      <c r="H69" s="22" t="s">
        <v>207</v>
      </c>
      <c r="I69" s="22" t="s">
        <v>384</v>
      </c>
      <c r="J69" s="22" t="s">
        <v>61</v>
      </c>
      <c r="K69" s="22" t="s">
        <v>590</v>
      </c>
    </row>
    <row r="70" customFormat="false" ht="23.25" hidden="false" customHeight="true" outlineLevel="0" collapsed="false">
      <c r="A70" s="22" t="s">
        <v>67</v>
      </c>
      <c r="B70" s="22" t="s">
        <v>549</v>
      </c>
      <c r="C70" s="22" t="s">
        <v>591</v>
      </c>
      <c r="D70" s="22" t="s">
        <v>29</v>
      </c>
      <c r="E70" s="22" t="s">
        <v>551</v>
      </c>
      <c r="F70" s="22" t="s">
        <v>568</v>
      </c>
      <c r="G70" s="22" t="s">
        <v>48</v>
      </c>
      <c r="H70" s="22" t="s">
        <v>207</v>
      </c>
      <c r="I70" s="22" t="s">
        <v>384</v>
      </c>
      <c r="J70" s="22" t="s">
        <v>61</v>
      </c>
      <c r="K70" s="22" t="s">
        <v>592</v>
      </c>
    </row>
    <row r="71" customFormat="false" ht="23.25" hidden="false" customHeight="true" outlineLevel="0" collapsed="false">
      <c r="A71" s="22" t="s">
        <v>67</v>
      </c>
      <c r="B71" s="22" t="s">
        <v>549</v>
      </c>
      <c r="C71" s="22" t="s">
        <v>593</v>
      </c>
      <c r="D71" s="22" t="s">
        <v>29</v>
      </c>
      <c r="E71" s="22" t="s">
        <v>555</v>
      </c>
      <c r="F71" s="22" t="s">
        <v>568</v>
      </c>
      <c r="G71" s="22" t="s">
        <v>48</v>
      </c>
      <c r="H71" s="22" t="s">
        <v>207</v>
      </c>
      <c r="I71" s="22" t="s">
        <v>384</v>
      </c>
      <c r="J71" s="22" t="s">
        <v>61</v>
      </c>
      <c r="K71" s="22" t="s">
        <v>594</v>
      </c>
    </row>
    <row r="72" customFormat="false" ht="15" hidden="false" customHeight="true" outlineLevel="0" collapsed="false">
      <c r="A72" s="22" t="s">
        <v>67</v>
      </c>
      <c r="B72" s="22" t="s">
        <v>549</v>
      </c>
      <c r="C72" s="22" t="s">
        <v>595</v>
      </c>
      <c r="D72" s="22" t="s">
        <v>29</v>
      </c>
      <c r="E72" s="22" t="s">
        <v>596</v>
      </c>
      <c r="F72" s="22" t="s">
        <v>295</v>
      </c>
      <c r="G72" s="22" t="s">
        <v>48</v>
      </c>
      <c r="H72" s="22" t="s">
        <v>207</v>
      </c>
      <c r="I72" s="22" t="s">
        <v>384</v>
      </c>
      <c r="J72" s="22" t="s">
        <v>61</v>
      </c>
      <c r="K72" s="22" t="s">
        <v>597</v>
      </c>
    </row>
    <row r="73" customFormat="false" ht="15" hidden="false" customHeight="true" outlineLevel="0" collapsed="false">
      <c r="A73" s="22" t="s">
        <v>67</v>
      </c>
      <c r="B73" s="22" t="s">
        <v>549</v>
      </c>
      <c r="C73" s="22" t="s">
        <v>598</v>
      </c>
      <c r="D73" s="22" t="s">
        <v>29</v>
      </c>
      <c r="E73" s="22" t="s">
        <v>599</v>
      </c>
      <c r="F73" s="22" t="s">
        <v>295</v>
      </c>
      <c r="G73" s="22" t="s">
        <v>48</v>
      </c>
      <c r="H73" s="22" t="s">
        <v>207</v>
      </c>
      <c r="I73" s="22" t="s">
        <v>384</v>
      </c>
      <c r="J73" s="22" t="s">
        <v>61</v>
      </c>
      <c r="K73" s="22" t="s">
        <v>600</v>
      </c>
    </row>
    <row r="74" customFormat="false" ht="15" hidden="false" customHeight="true" outlineLevel="0" collapsed="false">
      <c r="A74" s="22" t="s">
        <v>67</v>
      </c>
      <c r="B74" s="22" t="s">
        <v>549</v>
      </c>
      <c r="C74" s="22" t="s">
        <v>601</v>
      </c>
      <c r="D74" s="22" t="s">
        <v>29</v>
      </c>
      <c r="E74" s="22" t="s">
        <v>602</v>
      </c>
      <c r="F74" s="22" t="s">
        <v>295</v>
      </c>
      <c r="G74" s="22" t="s">
        <v>48</v>
      </c>
      <c r="H74" s="22" t="s">
        <v>207</v>
      </c>
      <c r="I74" s="22" t="s">
        <v>384</v>
      </c>
      <c r="J74" s="22" t="s">
        <v>61</v>
      </c>
      <c r="K74" s="22" t="s">
        <v>603</v>
      </c>
    </row>
    <row r="75" customFormat="false" ht="15" hidden="false" customHeight="true" outlineLevel="0" collapsed="false">
      <c r="A75" s="22" t="s">
        <v>67</v>
      </c>
      <c r="B75" s="22" t="s">
        <v>549</v>
      </c>
      <c r="C75" s="22" t="s">
        <v>560</v>
      </c>
      <c r="D75" s="22" t="s">
        <v>29</v>
      </c>
      <c r="E75" s="22" t="s">
        <v>604</v>
      </c>
      <c r="F75" s="22" t="s">
        <v>297</v>
      </c>
      <c r="G75" s="22" t="s">
        <v>48</v>
      </c>
      <c r="H75" s="22" t="s">
        <v>207</v>
      </c>
      <c r="I75" s="22" t="s">
        <v>384</v>
      </c>
      <c r="J75" s="22" t="s">
        <v>60</v>
      </c>
      <c r="K75" s="22" t="s">
        <v>605</v>
      </c>
    </row>
    <row r="76" customFormat="false" ht="15" hidden="false" customHeight="true" outlineLevel="0" collapsed="false">
      <c r="A76" s="22" t="s">
        <v>67</v>
      </c>
      <c r="B76" s="22" t="s">
        <v>549</v>
      </c>
      <c r="C76" s="22" t="s">
        <v>606</v>
      </c>
      <c r="D76" s="22" t="s">
        <v>29</v>
      </c>
      <c r="E76" s="22" t="s">
        <v>607</v>
      </c>
      <c r="F76" s="22" t="s">
        <v>295</v>
      </c>
      <c r="G76" s="22" t="s">
        <v>48</v>
      </c>
      <c r="H76" s="22" t="s">
        <v>207</v>
      </c>
      <c r="I76" s="22" t="s">
        <v>384</v>
      </c>
      <c r="J76" s="22" t="s">
        <v>61</v>
      </c>
      <c r="K76" s="22" t="s">
        <v>608</v>
      </c>
    </row>
    <row r="77" customFormat="false" ht="23.25" hidden="false" customHeight="true" outlineLevel="0" collapsed="false">
      <c r="A77" s="22" t="s">
        <v>67</v>
      </c>
      <c r="B77" s="22" t="s">
        <v>549</v>
      </c>
      <c r="C77" s="22" t="s">
        <v>609</v>
      </c>
      <c r="D77" s="22" t="s">
        <v>29</v>
      </c>
      <c r="E77" s="22" t="s">
        <v>610</v>
      </c>
      <c r="F77" s="22" t="s">
        <v>301</v>
      </c>
      <c r="G77" s="22" t="s">
        <v>48</v>
      </c>
      <c r="H77" s="22" t="s">
        <v>207</v>
      </c>
      <c r="I77" s="22" t="s">
        <v>384</v>
      </c>
      <c r="J77" s="22" t="s">
        <v>61</v>
      </c>
      <c r="K77" s="22" t="s">
        <v>611</v>
      </c>
    </row>
    <row r="78" customFormat="false" ht="15" hidden="false" customHeight="true" outlineLevel="0" collapsed="false">
      <c r="A78" s="22" t="s">
        <v>67</v>
      </c>
      <c r="B78" s="22" t="s">
        <v>549</v>
      </c>
      <c r="C78" s="22" t="s">
        <v>612</v>
      </c>
      <c r="D78" s="22" t="s">
        <v>29</v>
      </c>
      <c r="E78" s="22" t="s">
        <v>613</v>
      </c>
      <c r="F78" s="22" t="s">
        <v>295</v>
      </c>
      <c r="G78" s="22" t="s">
        <v>48</v>
      </c>
      <c r="H78" s="22" t="s">
        <v>207</v>
      </c>
      <c r="I78" s="22" t="s">
        <v>384</v>
      </c>
      <c r="J78" s="22" t="s">
        <v>61</v>
      </c>
      <c r="K78" s="22" t="s">
        <v>614</v>
      </c>
    </row>
    <row r="79" customFormat="false" ht="15" hidden="false" customHeight="true" outlineLevel="0" collapsed="false">
      <c r="A79" s="22" t="s">
        <v>67</v>
      </c>
      <c r="B79" s="22" t="s">
        <v>549</v>
      </c>
      <c r="C79" s="22" t="s">
        <v>615</v>
      </c>
      <c r="D79" s="22" t="s">
        <v>34</v>
      </c>
      <c r="E79" s="22" t="s">
        <v>616</v>
      </c>
      <c r="F79" s="22" t="s">
        <v>295</v>
      </c>
      <c r="G79" s="22" t="s">
        <v>48</v>
      </c>
      <c r="H79" s="22" t="s">
        <v>207</v>
      </c>
      <c r="I79" s="22" t="s">
        <v>384</v>
      </c>
      <c r="J79" s="22" t="s">
        <v>61</v>
      </c>
      <c r="K79" s="22" t="s">
        <v>617</v>
      </c>
    </row>
    <row r="80" customFormat="false" ht="15" hidden="false" customHeight="true" outlineLevel="0" collapsed="false">
      <c r="A80" s="22" t="s">
        <v>67</v>
      </c>
      <c r="B80" s="22" t="s">
        <v>549</v>
      </c>
      <c r="C80" s="22" t="s">
        <v>618</v>
      </c>
      <c r="D80" s="22" t="s">
        <v>35</v>
      </c>
      <c r="E80" s="22" t="s">
        <v>619</v>
      </c>
      <c r="F80" s="22" t="s">
        <v>295</v>
      </c>
      <c r="G80" s="22" t="s">
        <v>48</v>
      </c>
      <c r="H80" s="22" t="s">
        <v>207</v>
      </c>
      <c r="I80" s="22" t="s">
        <v>384</v>
      </c>
      <c r="J80" s="22" t="s">
        <v>61</v>
      </c>
      <c r="K80" s="22" t="s">
        <v>620</v>
      </c>
    </row>
    <row r="81" customFormat="false" ht="23.25" hidden="false" customHeight="true" outlineLevel="0" collapsed="false">
      <c r="A81" s="22" t="s">
        <v>67</v>
      </c>
      <c r="B81" s="22" t="s">
        <v>549</v>
      </c>
      <c r="C81" s="22" t="s">
        <v>621</v>
      </c>
      <c r="D81" s="22" t="s">
        <v>29</v>
      </c>
      <c r="E81" s="22" t="s">
        <v>622</v>
      </c>
      <c r="F81" s="22" t="s">
        <v>295</v>
      </c>
      <c r="G81" s="22" t="s">
        <v>49</v>
      </c>
      <c r="H81" s="22" t="s">
        <v>374</v>
      </c>
      <c r="I81" s="22" t="s">
        <v>623</v>
      </c>
      <c r="J81" s="22" t="s">
        <v>61</v>
      </c>
      <c r="K81" s="22" t="s">
        <v>624</v>
      </c>
    </row>
    <row r="82" customFormat="false" ht="15" hidden="false" customHeight="true" outlineLevel="0" collapsed="false">
      <c r="A82" s="22" t="s">
        <v>67</v>
      </c>
      <c r="B82" s="22" t="s">
        <v>549</v>
      </c>
      <c r="C82" s="22" t="s">
        <v>625</v>
      </c>
      <c r="D82" s="22" t="s">
        <v>29</v>
      </c>
      <c r="E82" s="22" t="s">
        <v>626</v>
      </c>
      <c r="F82" s="22" t="s">
        <v>295</v>
      </c>
      <c r="G82" s="22" t="s">
        <v>49</v>
      </c>
      <c r="H82" s="22" t="s">
        <v>374</v>
      </c>
      <c r="I82" s="22" t="s">
        <v>627</v>
      </c>
      <c r="J82" s="22" t="s">
        <v>61</v>
      </c>
      <c r="K82" s="22" t="s">
        <v>628</v>
      </c>
    </row>
    <row r="83" customFormat="false" ht="23.25" hidden="false" customHeight="true" outlineLevel="0" collapsed="false">
      <c r="A83" s="22" t="s">
        <v>67</v>
      </c>
      <c r="B83" s="22" t="s">
        <v>549</v>
      </c>
      <c r="C83" s="22" t="s">
        <v>629</v>
      </c>
      <c r="D83" s="22" t="s">
        <v>40</v>
      </c>
      <c r="E83" s="22" t="s">
        <v>432</v>
      </c>
      <c r="F83" s="22" t="s">
        <v>309</v>
      </c>
      <c r="G83" s="22" t="s">
        <v>55</v>
      </c>
      <c r="H83" s="22" t="s">
        <v>383</v>
      </c>
      <c r="I83" s="22" t="s">
        <v>384</v>
      </c>
      <c r="J83" s="22" t="s">
        <v>61</v>
      </c>
      <c r="K83" s="22" t="s">
        <v>630</v>
      </c>
    </row>
    <row r="84" customFormat="false" ht="23.25" hidden="false" customHeight="true" outlineLevel="0" collapsed="false">
      <c r="A84" s="22" t="s">
        <v>68</v>
      </c>
      <c r="B84" s="22" t="s">
        <v>631</v>
      </c>
      <c r="C84" s="22" t="s">
        <v>632</v>
      </c>
      <c r="D84" s="22" t="s">
        <v>31</v>
      </c>
      <c r="E84" s="22" t="s">
        <v>633</v>
      </c>
      <c r="F84" s="22" t="s">
        <v>634</v>
      </c>
      <c r="G84" s="22" t="s">
        <v>51</v>
      </c>
      <c r="H84" s="22" t="s">
        <v>211</v>
      </c>
      <c r="I84" s="22" t="s">
        <v>635</v>
      </c>
      <c r="J84" s="22" t="s">
        <v>419</v>
      </c>
      <c r="K84" s="22" t="s">
        <v>636</v>
      </c>
    </row>
    <row r="85" customFormat="false" ht="15" hidden="false" customHeight="true" outlineLevel="0" collapsed="false">
      <c r="A85" s="22" t="s">
        <v>68</v>
      </c>
      <c r="B85" s="22" t="s">
        <v>631</v>
      </c>
      <c r="C85" s="22" t="s">
        <v>637</v>
      </c>
      <c r="D85" s="22" t="s">
        <v>32</v>
      </c>
      <c r="E85" s="22" t="s">
        <v>638</v>
      </c>
      <c r="F85" s="22" t="s">
        <v>423</v>
      </c>
      <c r="G85" s="22" t="s">
        <v>51</v>
      </c>
      <c r="H85" s="22" t="s">
        <v>383</v>
      </c>
      <c r="I85" s="22" t="s">
        <v>412</v>
      </c>
      <c r="J85" s="22" t="s">
        <v>36</v>
      </c>
      <c r="K85" s="22" t="s">
        <v>639</v>
      </c>
    </row>
    <row r="86" customFormat="false" ht="23.25" hidden="false" customHeight="true" outlineLevel="0" collapsed="false">
      <c r="A86" s="22" t="s">
        <v>68</v>
      </c>
      <c r="B86" s="22" t="s">
        <v>631</v>
      </c>
      <c r="C86" s="22" t="s">
        <v>640</v>
      </c>
      <c r="D86" s="22" t="s">
        <v>33</v>
      </c>
      <c r="E86" s="22" t="s">
        <v>641</v>
      </c>
      <c r="F86" s="22" t="s">
        <v>383</v>
      </c>
      <c r="G86" s="22" t="s">
        <v>51</v>
      </c>
      <c r="H86" s="22" t="s">
        <v>383</v>
      </c>
      <c r="I86" s="22" t="s">
        <v>384</v>
      </c>
      <c r="J86" s="22" t="s">
        <v>62</v>
      </c>
      <c r="K86" s="22" t="s">
        <v>642</v>
      </c>
    </row>
    <row r="87" customFormat="false" ht="23.25" hidden="false" customHeight="true" outlineLevel="0" collapsed="false">
      <c r="A87" s="22" t="s">
        <v>68</v>
      </c>
      <c r="B87" s="22" t="s">
        <v>631</v>
      </c>
      <c r="C87" s="22" t="s">
        <v>643</v>
      </c>
      <c r="D87" s="22" t="s">
        <v>31</v>
      </c>
      <c r="E87" s="22" t="s">
        <v>644</v>
      </c>
      <c r="F87" s="22" t="s">
        <v>423</v>
      </c>
      <c r="G87" s="22" t="s">
        <v>51</v>
      </c>
      <c r="H87" s="22" t="s">
        <v>383</v>
      </c>
      <c r="I87" s="22" t="s">
        <v>379</v>
      </c>
      <c r="J87" s="22" t="s">
        <v>30</v>
      </c>
      <c r="K87" s="22" t="s">
        <v>645</v>
      </c>
    </row>
    <row r="88" customFormat="false" ht="23.25" hidden="false" customHeight="true" outlineLevel="0" collapsed="false">
      <c r="A88" s="22" t="s">
        <v>646</v>
      </c>
      <c r="B88" s="22" t="s">
        <v>631</v>
      </c>
      <c r="C88" s="22" t="s">
        <v>647</v>
      </c>
      <c r="D88" s="22" t="s">
        <v>31</v>
      </c>
      <c r="E88" s="22" t="s">
        <v>648</v>
      </c>
      <c r="F88" s="22" t="s">
        <v>649</v>
      </c>
      <c r="G88" s="22" t="s">
        <v>51</v>
      </c>
      <c r="H88" s="22" t="s">
        <v>211</v>
      </c>
      <c r="I88" s="22" t="s">
        <v>379</v>
      </c>
      <c r="J88" s="22" t="s">
        <v>419</v>
      </c>
      <c r="K88" s="22" t="s">
        <v>650</v>
      </c>
    </row>
    <row r="89" customFormat="false" ht="15" hidden="false" customHeight="true" outlineLevel="0" collapsed="false">
      <c r="A89" s="22" t="s">
        <v>646</v>
      </c>
      <c r="B89" s="22" t="s">
        <v>631</v>
      </c>
      <c r="C89" s="22" t="s">
        <v>651</v>
      </c>
      <c r="D89" s="22" t="s">
        <v>32</v>
      </c>
      <c r="E89" s="22" t="s">
        <v>422</v>
      </c>
      <c r="F89" s="22" t="s">
        <v>295</v>
      </c>
      <c r="G89" s="22" t="s">
        <v>51</v>
      </c>
      <c r="H89" s="22" t="s">
        <v>383</v>
      </c>
      <c r="I89" s="22" t="s">
        <v>412</v>
      </c>
      <c r="J89" s="22" t="s">
        <v>36</v>
      </c>
      <c r="K89" s="22" t="s">
        <v>652</v>
      </c>
    </row>
    <row r="90" customFormat="false" ht="15" hidden="false" customHeight="true" outlineLevel="0" collapsed="false">
      <c r="A90" s="22" t="s">
        <v>646</v>
      </c>
      <c r="B90" s="22" t="s">
        <v>631</v>
      </c>
      <c r="C90" s="22" t="s">
        <v>653</v>
      </c>
      <c r="D90" s="22" t="s">
        <v>31</v>
      </c>
      <c r="E90" s="22" t="s">
        <v>654</v>
      </c>
      <c r="F90" s="22" t="s">
        <v>307</v>
      </c>
      <c r="G90" s="22" t="s">
        <v>51</v>
      </c>
      <c r="H90" s="22" t="s">
        <v>211</v>
      </c>
      <c r="I90" s="22" t="s">
        <v>379</v>
      </c>
      <c r="J90" s="22" t="s">
        <v>30</v>
      </c>
      <c r="K90" s="22" t="s">
        <v>655</v>
      </c>
    </row>
    <row r="91" customFormat="false" ht="23.25" hidden="false" customHeight="true" outlineLevel="0" collapsed="false">
      <c r="A91" s="22" t="s">
        <v>69</v>
      </c>
      <c r="B91" s="22" t="s">
        <v>656</v>
      </c>
      <c r="C91" s="22" t="s">
        <v>657</v>
      </c>
      <c r="D91" s="22" t="s">
        <v>34</v>
      </c>
      <c r="E91" s="22" t="s">
        <v>658</v>
      </c>
      <c r="F91" s="22" t="s">
        <v>295</v>
      </c>
      <c r="G91" s="22" t="s">
        <v>55</v>
      </c>
      <c r="H91" s="22" t="s">
        <v>383</v>
      </c>
      <c r="I91" s="22" t="s">
        <v>384</v>
      </c>
      <c r="J91" s="22" t="s">
        <v>61</v>
      </c>
      <c r="K91" s="22" t="s">
        <v>659</v>
      </c>
    </row>
    <row r="92" customFormat="false" ht="23.25" hidden="false" customHeight="true" outlineLevel="0" collapsed="false">
      <c r="A92" s="22" t="s">
        <v>69</v>
      </c>
      <c r="B92" s="22" t="s">
        <v>656</v>
      </c>
      <c r="C92" s="22" t="s">
        <v>660</v>
      </c>
      <c r="D92" s="22" t="s">
        <v>34</v>
      </c>
      <c r="E92" s="22" t="s">
        <v>661</v>
      </c>
      <c r="F92" s="22" t="s">
        <v>295</v>
      </c>
      <c r="G92" s="22" t="s">
        <v>55</v>
      </c>
      <c r="H92" s="22" t="s">
        <v>383</v>
      </c>
      <c r="I92" s="22" t="s">
        <v>384</v>
      </c>
      <c r="J92" s="22" t="s">
        <v>36</v>
      </c>
      <c r="K92" s="22" t="s">
        <v>662</v>
      </c>
    </row>
    <row r="93" customFormat="false" ht="23.25" hidden="false" customHeight="true" outlineLevel="0" collapsed="false">
      <c r="A93" s="22" t="s">
        <v>69</v>
      </c>
      <c r="B93" s="22" t="s">
        <v>656</v>
      </c>
      <c r="C93" s="22" t="s">
        <v>663</v>
      </c>
      <c r="D93" s="22" t="s">
        <v>32</v>
      </c>
      <c r="E93" s="22" t="s">
        <v>664</v>
      </c>
      <c r="F93" s="22" t="s">
        <v>295</v>
      </c>
      <c r="G93" s="22" t="s">
        <v>55</v>
      </c>
      <c r="H93" s="22" t="s">
        <v>383</v>
      </c>
      <c r="I93" s="22" t="s">
        <v>384</v>
      </c>
      <c r="J93" s="22" t="s">
        <v>62</v>
      </c>
      <c r="K93" s="22" t="s">
        <v>665</v>
      </c>
    </row>
    <row r="94" customFormat="false" ht="23.25" hidden="false" customHeight="true" outlineLevel="0" collapsed="false">
      <c r="A94" s="22" t="s">
        <v>69</v>
      </c>
      <c r="B94" s="22" t="s">
        <v>656</v>
      </c>
      <c r="C94" s="22" t="s">
        <v>666</v>
      </c>
      <c r="D94" s="22" t="s">
        <v>34</v>
      </c>
      <c r="E94" s="22" t="s">
        <v>667</v>
      </c>
      <c r="F94" s="22" t="s">
        <v>295</v>
      </c>
      <c r="G94" s="22" t="s">
        <v>55</v>
      </c>
      <c r="H94" s="22" t="s">
        <v>383</v>
      </c>
      <c r="I94" s="22" t="s">
        <v>384</v>
      </c>
      <c r="J94" s="22" t="s">
        <v>61</v>
      </c>
      <c r="K94" s="22" t="s">
        <v>668</v>
      </c>
    </row>
    <row r="95" customFormat="false" ht="23.25" hidden="false" customHeight="true" outlineLevel="0" collapsed="false">
      <c r="A95" s="22" t="s">
        <v>69</v>
      </c>
      <c r="B95" s="22" t="s">
        <v>656</v>
      </c>
      <c r="C95" s="22" t="s">
        <v>669</v>
      </c>
      <c r="D95" s="22" t="s">
        <v>34</v>
      </c>
      <c r="E95" s="22" t="s">
        <v>670</v>
      </c>
      <c r="F95" s="22" t="s">
        <v>299</v>
      </c>
      <c r="G95" s="22" t="s">
        <v>55</v>
      </c>
      <c r="H95" s="22" t="s">
        <v>383</v>
      </c>
      <c r="I95" s="22" t="s">
        <v>379</v>
      </c>
      <c r="J95" s="22" t="s">
        <v>61</v>
      </c>
      <c r="K95" s="22" t="s">
        <v>671</v>
      </c>
    </row>
    <row r="96" customFormat="false" ht="23.25" hidden="false" customHeight="true" outlineLevel="0" collapsed="false">
      <c r="A96" s="22" t="s">
        <v>69</v>
      </c>
      <c r="B96" s="22" t="s">
        <v>656</v>
      </c>
      <c r="C96" s="22" t="s">
        <v>672</v>
      </c>
      <c r="D96" s="22" t="s">
        <v>34</v>
      </c>
      <c r="E96" s="22" t="s">
        <v>673</v>
      </c>
      <c r="F96" s="22" t="s">
        <v>309</v>
      </c>
      <c r="G96" s="22" t="s">
        <v>55</v>
      </c>
      <c r="H96" s="22" t="s">
        <v>383</v>
      </c>
      <c r="I96" s="22" t="s">
        <v>384</v>
      </c>
      <c r="J96" s="22" t="s">
        <v>62</v>
      </c>
      <c r="K96" s="22" t="s">
        <v>674</v>
      </c>
    </row>
    <row r="97" customFormat="false" ht="23.25" hidden="false" customHeight="true" outlineLevel="0" collapsed="false">
      <c r="A97" s="22" t="s">
        <v>69</v>
      </c>
      <c r="B97" s="22" t="s">
        <v>656</v>
      </c>
      <c r="C97" s="22" t="s">
        <v>675</v>
      </c>
      <c r="D97" s="22" t="s">
        <v>29</v>
      </c>
      <c r="E97" s="22" t="s">
        <v>567</v>
      </c>
      <c r="F97" s="22" t="s">
        <v>295</v>
      </c>
      <c r="G97" s="22" t="s">
        <v>55</v>
      </c>
      <c r="H97" s="22" t="s">
        <v>383</v>
      </c>
      <c r="I97" s="22" t="s">
        <v>384</v>
      </c>
      <c r="J97" s="22" t="s">
        <v>36</v>
      </c>
      <c r="K97" s="22" t="s">
        <v>676</v>
      </c>
    </row>
    <row r="98" customFormat="false" ht="23.25" hidden="false" customHeight="true" outlineLevel="0" collapsed="false">
      <c r="A98" s="22" t="s">
        <v>69</v>
      </c>
      <c r="B98" s="22" t="s">
        <v>656</v>
      </c>
      <c r="C98" s="22" t="s">
        <v>677</v>
      </c>
      <c r="D98" s="22" t="s">
        <v>33</v>
      </c>
      <c r="E98" s="22" t="s">
        <v>678</v>
      </c>
      <c r="F98" s="22" t="s">
        <v>295</v>
      </c>
      <c r="G98" s="22" t="s">
        <v>55</v>
      </c>
      <c r="H98" s="22" t="s">
        <v>383</v>
      </c>
      <c r="I98" s="22" t="s">
        <v>384</v>
      </c>
      <c r="J98" s="22" t="s">
        <v>62</v>
      </c>
      <c r="K98" s="22" t="s">
        <v>679</v>
      </c>
    </row>
    <row r="99" customFormat="false" ht="23.25" hidden="false" customHeight="true" outlineLevel="0" collapsed="false">
      <c r="A99" s="22" t="s">
        <v>680</v>
      </c>
      <c r="B99" s="22" t="s">
        <v>656</v>
      </c>
      <c r="C99" s="22" t="s">
        <v>681</v>
      </c>
      <c r="D99" s="22" t="s">
        <v>34</v>
      </c>
      <c r="E99" s="22" t="s">
        <v>682</v>
      </c>
      <c r="F99" s="22" t="s">
        <v>295</v>
      </c>
      <c r="G99" s="22" t="s">
        <v>55</v>
      </c>
      <c r="H99" s="22" t="s">
        <v>383</v>
      </c>
      <c r="I99" s="22" t="s">
        <v>384</v>
      </c>
      <c r="J99" s="22" t="s">
        <v>61</v>
      </c>
      <c r="K99" s="22" t="s">
        <v>683</v>
      </c>
    </row>
    <row r="100" customFormat="false" ht="23.25" hidden="false" customHeight="true" outlineLevel="0" collapsed="false">
      <c r="A100" s="22" t="s">
        <v>680</v>
      </c>
      <c r="B100" s="22" t="s">
        <v>656</v>
      </c>
      <c r="C100" s="22" t="s">
        <v>684</v>
      </c>
      <c r="D100" s="22" t="s">
        <v>32</v>
      </c>
      <c r="E100" s="22" t="s">
        <v>685</v>
      </c>
      <c r="F100" s="22" t="s">
        <v>295</v>
      </c>
      <c r="G100" s="22" t="s">
        <v>55</v>
      </c>
      <c r="H100" s="22" t="s">
        <v>383</v>
      </c>
      <c r="I100" s="22" t="s">
        <v>384</v>
      </c>
      <c r="J100" s="22" t="s">
        <v>62</v>
      </c>
      <c r="K100" s="22" t="s">
        <v>686</v>
      </c>
    </row>
    <row r="101" customFormat="false" ht="23.25" hidden="false" customHeight="true" outlineLevel="0" collapsed="false">
      <c r="A101" s="22" t="s">
        <v>680</v>
      </c>
      <c r="B101" s="22" t="s">
        <v>656</v>
      </c>
      <c r="C101" s="22" t="s">
        <v>687</v>
      </c>
      <c r="D101" s="22" t="s">
        <v>32</v>
      </c>
      <c r="E101" s="22" t="s">
        <v>688</v>
      </c>
      <c r="F101" s="22" t="s">
        <v>295</v>
      </c>
      <c r="G101" s="22" t="s">
        <v>55</v>
      </c>
      <c r="H101" s="22" t="s">
        <v>383</v>
      </c>
      <c r="I101" s="22" t="s">
        <v>384</v>
      </c>
      <c r="J101" s="22" t="s">
        <v>62</v>
      </c>
      <c r="K101" s="22" t="s">
        <v>689</v>
      </c>
    </row>
    <row r="102" customFormat="false" ht="23.25" hidden="false" customHeight="true" outlineLevel="0" collapsed="false">
      <c r="A102" s="22" t="s">
        <v>680</v>
      </c>
      <c r="B102" s="22" t="s">
        <v>656</v>
      </c>
      <c r="C102" s="22" t="s">
        <v>690</v>
      </c>
      <c r="D102" s="22" t="s">
        <v>34</v>
      </c>
      <c r="E102" s="22" t="s">
        <v>691</v>
      </c>
      <c r="F102" s="22" t="s">
        <v>295</v>
      </c>
      <c r="G102" s="22" t="s">
        <v>55</v>
      </c>
      <c r="H102" s="22" t="s">
        <v>383</v>
      </c>
      <c r="I102" s="22" t="s">
        <v>384</v>
      </c>
      <c r="J102" s="22" t="s">
        <v>61</v>
      </c>
      <c r="K102" s="22" t="s">
        <v>692</v>
      </c>
    </row>
    <row r="103" customFormat="false" ht="23.25" hidden="false" customHeight="true" outlineLevel="0" collapsed="false">
      <c r="A103" s="22" t="s">
        <v>680</v>
      </c>
      <c r="B103" s="22" t="s">
        <v>656</v>
      </c>
      <c r="C103" s="22" t="s">
        <v>693</v>
      </c>
      <c r="D103" s="22" t="s">
        <v>34</v>
      </c>
      <c r="E103" s="22" t="s">
        <v>694</v>
      </c>
      <c r="F103" s="22" t="s">
        <v>299</v>
      </c>
      <c r="G103" s="22" t="s">
        <v>55</v>
      </c>
      <c r="H103" s="22" t="s">
        <v>383</v>
      </c>
      <c r="I103" s="22" t="s">
        <v>379</v>
      </c>
      <c r="J103" s="22" t="s">
        <v>61</v>
      </c>
      <c r="K103" s="22" t="s">
        <v>695</v>
      </c>
    </row>
  </sheetData>
  <autoFilter ref="A3:K10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24"/>
  </cols>
  <sheetData>
    <row r="1" customFormat="false" ht="17.25" hidden="false" customHeight="true" outlineLevel="0" collapsed="false">
      <c r="A1" s="2" t="s">
        <v>696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21" t="s">
        <v>697</v>
      </c>
      <c r="B3" s="21" t="s">
        <v>26</v>
      </c>
      <c r="C3" s="21" t="s">
        <v>698</v>
      </c>
      <c r="D3" s="21" t="s">
        <v>699</v>
      </c>
      <c r="E3" s="21" t="s">
        <v>700</v>
      </c>
      <c r="F3" s="21" t="s">
        <v>701</v>
      </c>
      <c r="G3" s="21" t="s">
        <v>702</v>
      </c>
    </row>
    <row r="4" customFormat="false" ht="23.25" hidden="false" customHeight="true" outlineLevel="0" collapsed="false">
      <c r="A4" s="22" t="s">
        <v>703</v>
      </c>
      <c r="B4" s="22" t="s">
        <v>29</v>
      </c>
      <c r="C4" s="22" t="s">
        <v>704</v>
      </c>
      <c r="D4" s="22" t="s">
        <v>705</v>
      </c>
      <c r="E4" s="22" t="s">
        <v>706</v>
      </c>
      <c r="F4" s="22" t="s">
        <v>707</v>
      </c>
      <c r="G4" s="22" t="s">
        <v>708</v>
      </c>
    </row>
    <row r="5" customFormat="false" ht="23.25" hidden="false" customHeight="true" outlineLevel="0" collapsed="false">
      <c r="A5" s="22" t="s">
        <v>709</v>
      </c>
      <c r="B5" s="22" t="s">
        <v>29</v>
      </c>
      <c r="C5" s="22" t="s">
        <v>710</v>
      </c>
      <c r="D5" s="22" t="s">
        <v>711</v>
      </c>
      <c r="E5" s="22" t="s">
        <v>712</v>
      </c>
      <c r="F5" s="22" t="s">
        <v>713</v>
      </c>
      <c r="G5" s="22" t="s">
        <v>714</v>
      </c>
    </row>
    <row r="6" customFormat="false" ht="23.25" hidden="false" customHeight="true" outlineLevel="0" collapsed="false">
      <c r="A6" s="22" t="s">
        <v>715</v>
      </c>
      <c r="B6" s="22" t="s">
        <v>29</v>
      </c>
      <c r="C6" s="22" t="s">
        <v>716</v>
      </c>
      <c r="D6" s="22" t="s">
        <v>717</v>
      </c>
      <c r="E6" s="22" t="s">
        <v>718</v>
      </c>
      <c r="F6" s="22" t="s">
        <v>719</v>
      </c>
      <c r="G6" s="22" t="s">
        <v>714</v>
      </c>
    </row>
    <row r="7" customFormat="false" ht="23.25" hidden="false" customHeight="true" outlineLevel="0" collapsed="false">
      <c r="A7" s="22" t="s">
        <v>720</v>
      </c>
      <c r="B7" s="22" t="s">
        <v>29</v>
      </c>
      <c r="C7" s="22" t="s">
        <v>721</v>
      </c>
      <c r="D7" s="22" t="s">
        <v>722</v>
      </c>
      <c r="E7" s="22" t="s">
        <v>723</v>
      </c>
      <c r="F7" s="22" t="s">
        <v>724</v>
      </c>
      <c r="G7" s="22" t="s">
        <v>725</v>
      </c>
    </row>
    <row r="8" customFormat="false" ht="23.25" hidden="false" customHeight="true" outlineLevel="0" collapsed="false">
      <c r="A8" s="22" t="s">
        <v>726</v>
      </c>
      <c r="B8" s="22" t="s">
        <v>727</v>
      </c>
      <c r="C8" s="22" t="s">
        <v>728</v>
      </c>
      <c r="D8" s="22" t="s">
        <v>729</v>
      </c>
      <c r="E8" s="22" t="s">
        <v>730</v>
      </c>
      <c r="F8" s="22" t="s">
        <v>731</v>
      </c>
      <c r="G8" s="22" t="s">
        <v>732</v>
      </c>
    </row>
    <row r="9" customFormat="false" ht="23.25" hidden="false" customHeight="true" outlineLevel="0" collapsed="false">
      <c r="A9" s="22" t="s">
        <v>733</v>
      </c>
      <c r="B9" s="22" t="s">
        <v>31</v>
      </c>
      <c r="C9" s="22" t="s">
        <v>734</v>
      </c>
      <c r="D9" s="22" t="s">
        <v>735</v>
      </c>
      <c r="E9" s="22" t="s">
        <v>736</v>
      </c>
      <c r="F9" s="22" t="s">
        <v>737</v>
      </c>
      <c r="G9" s="22" t="s">
        <v>738</v>
      </c>
    </row>
    <row r="10" customFormat="false" ht="23.25" hidden="false" customHeight="true" outlineLevel="0" collapsed="false">
      <c r="A10" s="22" t="s">
        <v>739</v>
      </c>
      <c r="B10" s="22" t="s">
        <v>727</v>
      </c>
      <c r="C10" s="22" t="s">
        <v>740</v>
      </c>
      <c r="D10" s="22" t="s">
        <v>741</v>
      </c>
      <c r="E10" s="22" t="s">
        <v>742</v>
      </c>
      <c r="F10" s="22" t="s">
        <v>743</v>
      </c>
      <c r="G10" s="22" t="s">
        <v>49</v>
      </c>
    </row>
    <row r="11" customFormat="false" ht="34.5" hidden="false" customHeight="true" outlineLevel="0" collapsed="false">
      <c r="A11" s="22" t="s">
        <v>744</v>
      </c>
      <c r="B11" s="22" t="s">
        <v>34</v>
      </c>
      <c r="C11" s="22" t="s">
        <v>745</v>
      </c>
      <c r="D11" s="22" t="s">
        <v>746</v>
      </c>
      <c r="E11" s="22" t="s">
        <v>747</v>
      </c>
      <c r="F11" s="22" t="s">
        <v>748</v>
      </c>
      <c r="G11" s="22" t="s">
        <v>749</v>
      </c>
    </row>
    <row r="12" customFormat="false" ht="23.25" hidden="false" customHeight="true" outlineLevel="0" collapsed="false">
      <c r="A12" s="22" t="s">
        <v>750</v>
      </c>
      <c r="B12" s="22" t="s">
        <v>35</v>
      </c>
      <c r="C12" s="22" t="s">
        <v>751</v>
      </c>
      <c r="D12" s="22" t="s">
        <v>752</v>
      </c>
      <c r="E12" s="22" t="s">
        <v>753</v>
      </c>
      <c r="F12" s="22" t="s">
        <v>754</v>
      </c>
      <c r="G12" s="22" t="s">
        <v>755</v>
      </c>
    </row>
    <row r="13" customFormat="false" ht="23.25" hidden="false" customHeight="true" outlineLevel="0" collapsed="false">
      <c r="A13" s="22" t="s">
        <v>756</v>
      </c>
      <c r="B13" s="22" t="s">
        <v>33</v>
      </c>
      <c r="C13" s="22" t="s">
        <v>757</v>
      </c>
      <c r="D13" s="22" t="s">
        <v>758</v>
      </c>
      <c r="E13" s="22" t="s">
        <v>759</v>
      </c>
      <c r="F13" s="22" t="s">
        <v>760</v>
      </c>
      <c r="G13" s="22" t="s">
        <v>761</v>
      </c>
    </row>
    <row r="14" customFormat="false" ht="23.25" hidden="false" customHeight="true" outlineLevel="0" collapsed="false">
      <c r="A14" s="22" t="s">
        <v>762</v>
      </c>
      <c r="B14" s="22" t="s">
        <v>31</v>
      </c>
      <c r="C14" s="22" t="s">
        <v>763</v>
      </c>
      <c r="D14" s="22" t="s">
        <v>764</v>
      </c>
      <c r="E14" s="22" t="s">
        <v>765</v>
      </c>
      <c r="F14" s="22" t="s">
        <v>766</v>
      </c>
      <c r="G14" s="22" t="s">
        <v>49</v>
      </c>
    </row>
    <row r="15" customFormat="false" ht="23.25" hidden="false" customHeight="true" outlineLevel="0" collapsed="false">
      <c r="A15" s="22" t="s">
        <v>767</v>
      </c>
      <c r="B15" s="22" t="s">
        <v>29</v>
      </c>
      <c r="C15" s="22" t="s">
        <v>768</v>
      </c>
      <c r="D15" s="22" t="s">
        <v>769</v>
      </c>
      <c r="E15" s="22" t="s">
        <v>770</v>
      </c>
      <c r="F15" s="22" t="s">
        <v>771</v>
      </c>
      <c r="G15" s="22" t="s">
        <v>714</v>
      </c>
    </row>
    <row r="16" customFormat="false" ht="34.5" hidden="false" customHeight="true" outlineLevel="0" collapsed="false">
      <c r="A16" s="22" t="s">
        <v>772</v>
      </c>
      <c r="B16" s="22" t="s">
        <v>773</v>
      </c>
      <c r="C16" s="22" t="s">
        <v>774</v>
      </c>
      <c r="D16" s="22" t="s">
        <v>775</v>
      </c>
      <c r="E16" s="22" t="s">
        <v>776</v>
      </c>
      <c r="F16" s="22" t="s">
        <v>777</v>
      </c>
      <c r="G16" s="22" t="s">
        <v>778</v>
      </c>
    </row>
    <row r="17" customFormat="false" ht="23.25" hidden="false" customHeight="true" outlineLevel="0" collapsed="false">
      <c r="A17" s="22" t="s">
        <v>779</v>
      </c>
      <c r="B17" s="22" t="s">
        <v>45</v>
      </c>
      <c r="C17" s="22" t="s">
        <v>780</v>
      </c>
      <c r="D17" s="22" t="s">
        <v>781</v>
      </c>
      <c r="E17" s="22" t="s">
        <v>782</v>
      </c>
      <c r="F17" s="22" t="s">
        <v>783</v>
      </c>
      <c r="G17" s="22" t="s">
        <v>784</v>
      </c>
    </row>
    <row r="18" customFormat="false" ht="23.25" hidden="false" customHeight="true" outlineLevel="0" collapsed="false">
      <c r="A18" s="22" t="s">
        <v>785</v>
      </c>
      <c r="B18" s="22" t="s">
        <v>40</v>
      </c>
      <c r="C18" s="22" t="s">
        <v>786</v>
      </c>
      <c r="D18" s="22" t="s">
        <v>787</v>
      </c>
      <c r="E18" s="22" t="s">
        <v>788</v>
      </c>
      <c r="F18" s="22" t="s">
        <v>789</v>
      </c>
      <c r="G18" s="22" t="s">
        <v>55</v>
      </c>
    </row>
    <row r="19" customFormat="false" ht="23.25" hidden="false" customHeight="true" outlineLevel="0" collapsed="false">
      <c r="A19" s="22" t="s">
        <v>790</v>
      </c>
      <c r="B19" s="22" t="s">
        <v>45</v>
      </c>
      <c r="C19" s="22" t="s">
        <v>791</v>
      </c>
      <c r="D19" s="22" t="s">
        <v>792</v>
      </c>
      <c r="E19" s="22" t="s">
        <v>793</v>
      </c>
      <c r="F19" s="22" t="s">
        <v>794</v>
      </c>
      <c r="G19" s="22" t="s">
        <v>795</v>
      </c>
    </row>
    <row r="20" customFormat="false" ht="15" hidden="false" customHeight="true" outlineLevel="0" collapsed="false">
      <c r="A20" s="22" t="s">
        <v>796</v>
      </c>
      <c r="B20" s="22" t="s">
        <v>29</v>
      </c>
      <c r="C20" s="22" t="s">
        <v>797</v>
      </c>
      <c r="D20" s="22" t="s">
        <v>798</v>
      </c>
      <c r="E20" s="22" t="s">
        <v>799</v>
      </c>
      <c r="F20" s="22" t="s">
        <v>800</v>
      </c>
      <c r="G20" s="22" t="s">
        <v>708</v>
      </c>
    </row>
    <row r="21" customFormat="false" ht="23.25" hidden="false" customHeight="true" outlineLevel="0" collapsed="false">
      <c r="A21" s="22" t="s">
        <v>801</v>
      </c>
      <c r="B21" s="22" t="s">
        <v>30</v>
      </c>
      <c r="C21" s="22" t="s">
        <v>802</v>
      </c>
      <c r="D21" s="22" t="s">
        <v>803</v>
      </c>
      <c r="E21" s="22" t="s">
        <v>804</v>
      </c>
      <c r="F21" s="22" t="s">
        <v>805</v>
      </c>
      <c r="G21" s="22" t="s">
        <v>806</v>
      </c>
    </row>
    <row r="22" customFormat="false" ht="23.25" hidden="false" customHeight="true" outlineLevel="0" collapsed="false">
      <c r="A22" s="22" t="s">
        <v>807</v>
      </c>
      <c r="B22" s="22" t="s">
        <v>808</v>
      </c>
      <c r="C22" s="22" t="s">
        <v>809</v>
      </c>
      <c r="D22" s="22" t="s">
        <v>810</v>
      </c>
      <c r="E22" s="22" t="s">
        <v>811</v>
      </c>
      <c r="F22" s="22" t="s">
        <v>812</v>
      </c>
      <c r="G22" s="22" t="s">
        <v>213</v>
      </c>
    </row>
    <row r="23" customFormat="false" ht="23.25" hidden="false" customHeight="true" outlineLevel="0" collapsed="false">
      <c r="A23" s="22" t="s">
        <v>813</v>
      </c>
      <c r="B23" s="22" t="s">
        <v>36</v>
      </c>
      <c r="C23" s="22" t="s">
        <v>814</v>
      </c>
      <c r="D23" s="22" t="s">
        <v>815</v>
      </c>
      <c r="E23" s="22" t="s">
        <v>816</v>
      </c>
      <c r="F23" s="22" t="s">
        <v>817</v>
      </c>
      <c r="G23" s="22" t="s">
        <v>818</v>
      </c>
    </row>
  </sheetData>
  <autoFilter ref="A3:G2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3" min="11" style="0" width="20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35.05" hidden="false" customHeight="false" outlineLevel="0" collapsed="false">
      <c r="A1" s="17" t="s">
        <v>819</v>
      </c>
      <c r="B1" s="17" t="s">
        <v>101</v>
      </c>
      <c r="C1" s="17" t="s">
        <v>112</v>
      </c>
      <c r="D1" s="17" t="s">
        <v>26</v>
      </c>
      <c r="E1" s="17" t="s">
        <v>47</v>
      </c>
      <c r="F1" s="17" t="s">
        <v>123</v>
      </c>
      <c r="G1" s="17" t="s">
        <v>126</v>
      </c>
      <c r="H1" s="17" t="s">
        <v>128</v>
      </c>
      <c r="I1" s="17" t="s">
        <v>130</v>
      </c>
      <c r="J1" s="17" t="s">
        <v>57</v>
      </c>
      <c r="K1" s="17" t="s">
        <v>139</v>
      </c>
      <c r="L1" s="17" t="s">
        <v>142</v>
      </c>
      <c r="M1" s="17" t="s">
        <v>145</v>
      </c>
      <c r="N1" s="17" t="s">
        <v>148</v>
      </c>
      <c r="O1" s="17" t="s">
        <v>150</v>
      </c>
      <c r="P1" s="17" t="s">
        <v>118</v>
      </c>
      <c r="Q1" s="17" t="s">
        <v>161</v>
      </c>
      <c r="R1" s="17" t="s">
        <v>163</v>
      </c>
      <c r="S1" s="17" t="s">
        <v>176</v>
      </c>
      <c r="T1" s="17" t="s">
        <v>179</v>
      </c>
      <c r="U1" s="17" t="s">
        <v>820</v>
      </c>
      <c r="V1" s="17" t="s">
        <v>821</v>
      </c>
    </row>
    <row r="2" customFormat="false" ht="15" hidden="false" customHeight="false" outlineLevel="0" collapsed="false">
      <c r="A2" s="14" t="s">
        <v>822</v>
      </c>
      <c r="B2" s="14" t="s">
        <v>65</v>
      </c>
      <c r="C2" s="14" t="s">
        <v>371</v>
      </c>
      <c r="D2" s="14" t="s">
        <v>29</v>
      </c>
      <c r="E2" s="14" t="s">
        <v>49</v>
      </c>
      <c r="F2" s="14" t="s">
        <v>209</v>
      </c>
      <c r="G2" s="14" t="s">
        <v>67</v>
      </c>
      <c r="H2" s="14" t="s">
        <v>217</v>
      </c>
      <c r="I2" s="14" t="s">
        <v>823</v>
      </c>
      <c r="J2" s="14" t="s">
        <v>61</v>
      </c>
      <c r="K2" s="14" t="s">
        <v>824</v>
      </c>
      <c r="L2" s="14" t="s">
        <v>295</v>
      </c>
      <c r="M2" s="14" t="s">
        <v>325</v>
      </c>
      <c r="N2" s="14"/>
      <c r="O2" s="14" t="s">
        <v>825</v>
      </c>
      <c r="P2" s="14" t="s">
        <v>187</v>
      </c>
      <c r="Q2" s="14" t="s">
        <v>343</v>
      </c>
      <c r="R2" s="14" t="s">
        <v>826</v>
      </c>
      <c r="S2" s="14" t="s">
        <v>353</v>
      </c>
      <c r="T2" s="14" t="s">
        <v>325</v>
      </c>
      <c r="U2" s="14" t="s">
        <v>827</v>
      </c>
      <c r="V2" s="15" t="n">
        <v>361.5</v>
      </c>
    </row>
    <row r="3" customFormat="false" ht="15" hidden="false" customHeight="false" outlineLevel="0" collapsed="false">
      <c r="A3" s="14" t="s">
        <v>822</v>
      </c>
      <c r="B3" s="14" t="s">
        <v>65</v>
      </c>
      <c r="C3" s="14" t="s">
        <v>371</v>
      </c>
      <c r="D3" s="14" t="s">
        <v>29</v>
      </c>
      <c r="E3" s="14" t="s">
        <v>49</v>
      </c>
      <c r="F3" s="14" t="s">
        <v>209</v>
      </c>
      <c r="G3" s="14" t="s">
        <v>67</v>
      </c>
      <c r="H3" s="14" t="s">
        <v>219</v>
      </c>
      <c r="I3" s="14" t="s">
        <v>828</v>
      </c>
      <c r="J3" s="14" t="s">
        <v>61</v>
      </c>
      <c r="K3" s="14" t="s">
        <v>829</v>
      </c>
      <c r="L3" s="14" t="s">
        <v>307</v>
      </c>
      <c r="M3" s="14" t="s">
        <v>317</v>
      </c>
      <c r="N3" s="14" t="s">
        <v>830</v>
      </c>
      <c r="O3" s="14" t="s">
        <v>831</v>
      </c>
      <c r="P3" s="14" t="s">
        <v>187</v>
      </c>
      <c r="Q3" s="14" t="s">
        <v>343</v>
      </c>
      <c r="R3" s="14" t="s">
        <v>832</v>
      </c>
      <c r="S3" s="14" t="s">
        <v>353</v>
      </c>
      <c r="T3" s="14" t="s">
        <v>325</v>
      </c>
      <c r="U3" s="14" t="s">
        <v>833</v>
      </c>
      <c r="V3" s="15" t="n">
        <v>15249.6</v>
      </c>
    </row>
    <row r="4" customFormat="false" ht="15" hidden="false" customHeight="false" outlineLevel="0" collapsed="false">
      <c r="A4" s="14" t="s">
        <v>822</v>
      </c>
      <c r="B4" s="14" t="s">
        <v>65</v>
      </c>
      <c r="C4" s="14" t="s">
        <v>834</v>
      </c>
      <c r="D4" s="14" t="s">
        <v>30</v>
      </c>
      <c r="E4" s="14" t="s">
        <v>50</v>
      </c>
      <c r="F4" s="14" t="s">
        <v>383</v>
      </c>
      <c r="G4" s="14"/>
      <c r="H4" s="14"/>
      <c r="I4" s="14"/>
      <c r="J4" s="14" t="s">
        <v>30</v>
      </c>
      <c r="K4" s="14" t="s">
        <v>835</v>
      </c>
      <c r="L4" s="14" t="s">
        <v>307</v>
      </c>
      <c r="M4" s="14" t="s">
        <v>313</v>
      </c>
      <c r="N4" s="14" t="s">
        <v>830</v>
      </c>
      <c r="O4" s="14" t="s">
        <v>831</v>
      </c>
      <c r="P4" s="14" t="s">
        <v>187</v>
      </c>
      <c r="Q4" s="14" t="s">
        <v>345</v>
      </c>
      <c r="R4" s="14" t="s">
        <v>836</v>
      </c>
      <c r="S4" s="14" t="s">
        <v>353</v>
      </c>
      <c r="T4" s="14" t="s">
        <v>325</v>
      </c>
      <c r="U4" s="14" t="s">
        <v>837</v>
      </c>
      <c r="V4" s="15" t="n">
        <v>1356.77</v>
      </c>
    </row>
    <row r="5" customFormat="false" ht="15" hidden="false" customHeight="false" outlineLevel="0" collapsed="false">
      <c r="A5" s="14" t="s">
        <v>822</v>
      </c>
      <c r="B5" s="14" t="s">
        <v>65</v>
      </c>
      <c r="C5" s="14" t="s">
        <v>838</v>
      </c>
      <c r="D5" s="14" t="s">
        <v>31</v>
      </c>
      <c r="E5" s="14" t="s">
        <v>50</v>
      </c>
      <c r="F5" s="14" t="s">
        <v>383</v>
      </c>
      <c r="G5" s="14"/>
      <c r="H5" s="14"/>
      <c r="I5" s="14"/>
      <c r="J5" s="14" t="s">
        <v>61</v>
      </c>
      <c r="K5" s="14" t="s">
        <v>835</v>
      </c>
      <c r="L5" s="14" t="s">
        <v>295</v>
      </c>
      <c r="M5" s="14" t="s">
        <v>325</v>
      </c>
      <c r="N5" s="14"/>
      <c r="O5" s="14" t="s">
        <v>825</v>
      </c>
      <c r="P5" s="14" t="s">
        <v>187</v>
      </c>
      <c r="Q5" s="14" t="s">
        <v>345</v>
      </c>
      <c r="R5" s="14" t="s">
        <v>836</v>
      </c>
      <c r="S5" s="14" t="s">
        <v>353</v>
      </c>
      <c r="T5" s="14" t="s">
        <v>325</v>
      </c>
      <c r="U5" s="14" t="s">
        <v>839</v>
      </c>
      <c r="V5" s="15" t="n">
        <v>2068.5</v>
      </c>
    </row>
    <row r="6" customFormat="false" ht="15" hidden="false" customHeight="false" outlineLevel="0" collapsed="false">
      <c r="A6" s="14" t="s">
        <v>822</v>
      </c>
      <c r="B6" s="14" t="s">
        <v>65</v>
      </c>
      <c r="C6" s="14" t="s">
        <v>834</v>
      </c>
      <c r="D6" s="14" t="s">
        <v>31</v>
      </c>
      <c r="E6" s="14" t="s">
        <v>50</v>
      </c>
      <c r="F6" s="14" t="s">
        <v>383</v>
      </c>
      <c r="G6" s="14"/>
      <c r="H6" s="14"/>
      <c r="I6" s="14"/>
      <c r="J6" s="14" t="s">
        <v>62</v>
      </c>
      <c r="K6" s="14" t="s">
        <v>835</v>
      </c>
      <c r="L6" s="14" t="s">
        <v>307</v>
      </c>
      <c r="M6" s="14" t="s">
        <v>313</v>
      </c>
      <c r="N6" s="14" t="s">
        <v>840</v>
      </c>
      <c r="O6" s="14" t="s">
        <v>831</v>
      </c>
      <c r="P6" s="14" t="s">
        <v>187</v>
      </c>
      <c r="Q6" s="14" t="s">
        <v>345</v>
      </c>
      <c r="R6" s="14" t="s">
        <v>836</v>
      </c>
      <c r="S6" s="14" t="s">
        <v>353</v>
      </c>
      <c r="T6" s="14" t="s">
        <v>86</v>
      </c>
      <c r="U6" s="14" t="s">
        <v>841</v>
      </c>
      <c r="V6" s="15" t="n">
        <v>100.8</v>
      </c>
    </row>
    <row r="7" customFormat="false" ht="15" hidden="false" customHeight="false" outlineLevel="0" collapsed="false">
      <c r="A7" s="14" t="s">
        <v>822</v>
      </c>
      <c r="B7" s="14" t="s">
        <v>65</v>
      </c>
      <c r="C7" s="14" t="s">
        <v>842</v>
      </c>
      <c r="D7" s="14" t="s">
        <v>34</v>
      </c>
      <c r="E7" s="14" t="s">
        <v>49</v>
      </c>
      <c r="F7" s="14" t="s">
        <v>383</v>
      </c>
      <c r="G7" s="14"/>
      <c r="H7" s="14"/>
      <c r="I7" s="14"/>
      <c r="J7" s="14" t="s">
        <v>61</v>
      </c>
      <c r="K7" s="14" t="s">
        <v>843</v>
      </c>
      <c r="L7" s="14" t="s">
        <v>295</v>
      </c>
      <c r="M7" s="14" t="s">
        <v>325</v>
      </c>
      <c r="N7" s="14"/>
      <c r="O7" s="14" t="s">
        <v>825</v>
      </c>
      <c r="P7" s="14" t="s">
        <v>187</v>
      </c>
      <c r="Q7" s="14" t="s">
        <v>343</v>
      </c>
      <c r="R7" s="14" t="s">
        <v>826</v>
      </c>
      <c r="S7" s="14" t="s">
        <v>353</v>
      </c>
      <c r="T7" s="14" t="s">
        <v>325</v>
      </c>
      <c r="U7" s="14" t="s">
        <v>844</v>
      </c>
      <c r="V7" s="15" t="n">
        <v>345.6</v>
      </c>
    </row>
    <row r="8" customFormat="false" ht="15" hidden="false" customHeight="false" outlineLevel="0" collapsed="false">
      <c r="A8" s="14" t="s">
        <v>822</v>
      </c>
      <c r="B8" s="14" t="s">
        <v>65</v>
      </c>
      <c r="C8" s="14" t="s">
        <v>845</v>
      </c>
      <c r="D8" s="14" t="s">
        <v>32</v>
      </c>
      <c r="E8" s="14" t="s">
        <v>49</v>
      </c>
      <c r="F8" s="14" t="s">
        <v>383</v>
      </c>
      <c r="G8" s="14"/>
      <c r="H8" s="14"/>
      <c r="I8" s="14"/>
      <c r="J8" s="14" t="s">
        <v>36</v>
      </c>
      <c r="K8" s="14" t="s">
        <v>846</v>
      </c>
      <c r="L8" s="14" t="s">
        <v>295</v>
      </c>
      <c r="M8" s="14" t="s">
        <v>325</v>
      </c>
      <c r="N8" s="14"/>
      <c r="O8" s="14" t="s">
        <v>825</v>
      </c>
      <c r="P8" s="14" t="s">
        <v>187</v>
      </c>
      <c r="Q8" s="14" t="s">
        <v>343</v>
      </c>
      <c r="R8" s="14" t="s">
        <v>836</v>
      </c>
      <c r="S8" s="14" t="s">
        <v>353</v>
      </c>
      <c r="T8" s="14" t="s">
        <v>325</v>
      </c>
      <c r="U8" s="14" t="s">
        <v>847</v>
      </c>
      <c r="V8" s="15" t="n">
        <v>94.3</v>
      </c>
    </row>
    <row r="9" customFormat="false" ht="15" hidden="false" customHeight="false" outlineLevel="0" collapsed="false">
      <c r="A9" s="14" t="s">
        <v>822</v>
      </c>
      <c r="B9" s="14" t="s">
        <v>65</v>
      </c>
      <c r="C9" s="14" t="s">
        <v>838</v>
      </c>
      <c r="D9" s="14" t="s">
        <v>33</v>
      </c>
      <c r="E9" s="14" t="s">
        <v>49</v>
      </c>
      <c r="F9" s="14" t="s">
        <v>383</v>
      </c>
      <c r="G9" s="14"/>
      <c r="H9" s="14"/>
      <c r="I9" s="14"/>
      <c r="J9" s="14" t="s">
        <v>62</v>
      </c>
      <c r="K9" s="14" t="s">
        <v>848</v>
      </c>
      <c r="L9" s="14" t="s">
        <v>295</v>
      </c>
      <c r="M9" s="14" t="s">
        <v>325</v>
      </c>
      <c r="N9" s="14"/>
      <c r="O9" s="14" t="s">
        <v>825</v>
      </c>
      <c r="P9" s="14" t="s">
        <v>187</v>
      </c>
      <c r="Q9" s="14" t="s">
        <v>343</v>
      </c>
      <c r="R9" s="14" t="s">
        <v>826</v>
      </c>
      <c r="S9" s="14" t="s">
        <v>353</v>
      </c>
      <c r="T9" s="14" t="s">
        <v>325</v>
      </c>
      <c r="U9" s="14" t="s">
        <v>849</v>
      </c>
      <c r="V9" s="15" t="n">
        <v>82.8</v>
      </c>
    </row>
    <row r="10" customFormat="false" ht="15" hidden="false" customHeight="false" outlineLevel="0" collapsed="false">
      <c r="A10" s="14" t="s">
        <v>822</v>
      </c>
      <c r="B10" s="14" t="s">
        <v>65</v>
      </c>
      <c r="C10" s="14" t="s">
        <v>850</v>
      </c>
      <c r="D10" s="14" t="s">
        <v>40</v>
      </c>
      <c r="E10" s="14" t="s">
        <v>55</v>
      </c>
      <c r="F10" s="14" t="s">
        <v>383</v>
      </c>
      <c r="G10" s="14"/>
      <c r="H10" s="14"/>
      <c r="I10" s="14"/>
      <c r="J10" s="14" t="s">
        <v>61</v>
      </c>
      <c r="K10" s="14" t="s">
        <v>851</v>
      </c>
      <c r="L10" s="14" t="s">
        <v>295</v>
      </c>
      <c r="M10" s="14" t="s">
        <v>325</v>
      </c>
      <c r="N10" s="14"/>
      <c r="O10" s="14" t="s">
        <v>825</v>
      </c>
      <c r="P10" s="14" t="s">
        <v>189</v>
      </c>
      <c r="Q10" s="14" t="s">
        <v>343</v>
      </c>
      <c r="R10" s="14" t="s">
        <v>852</v>
      </c>
      <c r="S10" s="14" t="s">
        <v>353</v>
      </c>
      <c r="T10" s="14" t="s">
        <v>325</v>
      </c>
      <c r="U10" s="14" t="s">
        <v>853</v>
      </c>
      <c r="V10" s="15" t="n">
        <v>475</v>
      </c>
    </row>
    <row r="11" customFormat="false" ht="15" hidden="false" customHeight="false" outlineLevel="0" collapsed="false">
      <c r="A11" s="14" t="s">
        <v>854</v>
      </c>
      <c r="B11" s="14" t="s">
        <v>66</v>
      </c>
      <c r="C11" s="14" t="s">
        <v>855</v>
      </c>
      <c r="D11" s="14" t="s">
        <v>29</v>
      </c>
      <c r="E11" s="14" t="s">
        <v>48</v>
      </c>
      <c r="F11" s="14" t="s">
        <v>207</v>
      </c>
      <c r="G11" s="14" t="s">
        <v>66</v>
      </c>
      <c r="H11" s="14" t="s">
        <v>219</v>
      </c>
      <c r="I11" s="14" t="s">
        <v>856</v>
      </c>
      <c r="J11" s="14" t="s">
        <v>61</v>
      </c>
      <c r="K11" s="14" t="s">
        <v>293</v>
      </c>
      <c r="L11" s="14" t="s">
        <v>295</v>
      </c>
      <c r="M11" s="14" t="s">
        <v>325</v>
      </c>
      <c r="N11" s="14"/>
      <c r="O11" s="14" t="s">
        <v>825</v>
      </c>
      <c r="P11" s="14" t="s">
        <v>187</v>
      </c>
      <c r="Q11" s="14" t="s">
        <v>343</v>
      </c>
      <c r="R11" s="14" t="s">
        <v>857</v>
      </c>
      <c r="S11" s="14" t="s">
        <v>353</v>
      </c>
      <c r="T11" s="14" t="s">
        <v>325</v>
      </c>
      <c r="U11" s="14" t="s">
        <v>858</v>
      </c>
      <c r="V11" s="15" t="n">
        <v>78.4</v>
      </c>
    </row>
    <row r="12" customFormat="false" ht="15" hidden="false" customHeight="false" outlineLevel="0" collapsed="false">
      <c r="A12" s="14" t="s">
        <v>854</v>
      </c>
      <c r="B12" s="14" t="s">
        <v>66</v>
      </c>
      <c r="C12" s="14" t="s">
        <v>855</v>
      </c>
      <c r="D12" s="14" t="s">
        <v>29</v>
      </c>
      <c r="E12" s="14" t="s">
        <v>48</v>
      </c>
      <c r="F12" s="14" t="s">
        <v>207</v>
      </c>
      <c r="G12" s="14" t="s">
        <v>66</v>
      </c>
      <c r="H12" s="14" t="s">
        <v>219</v>
      </c>
      <c r="I12" s="14" t="s">
        <v>859</v>
      </c>
      <c r="J12" s="14" t="s">
        <v>60</v>
      </c>
      <c r="K12" s="14" t="s">
        <v>293</v>
      </c>
      <c r="L12" s="14" t="s">
        <v>297</v>
      </c>
      <c r="M12" s="14" t="s">
        <v>325</v>
      </c>
      <c r="N12" s="14"/>
      <c r="O12" s="14" t="s">
        <v>825</v>
      </c>
      <c r="P12" s="14" t="s">
        <v>187</v>
      </c>
      <c r="Q12" s="14" t="s">
        <v>345</v>
      </c>
      <c r="R12" s="14" t="s">
        <v>860</v>
      </c>
      <c r="S12" s="14" t="s">
        <v>353</v>
      </c>
      <c r="T12" s="14" t="s">
        <v>325</v>
      </c>
      <c r="U12" s="14" t="s">
        <v>861</v>
      </c>
      <c r="V12" s="15" t="n">
        <v>26.25</v>
      </c>
    </row>
    <row r="13" customFormat="false" ht="15" hidden="false" customHeight="false" outlineLevel="0" collapsed="false">
      <c r="A13" s="14" t="s">
        <v>854</v>
      </c>
      <c r="B13" s="14" t="s">
        <v>66</v>
      </c>
      <c r="C13" s="14" t="s">
        <v>862</v>
      </c>
      <c r="D13" s="14" t="s">
        <v>29</v>
      </c>
      <c r="E13" s="14" t="s">
        <v>48</v>
      </c>
      <c r="F13" s="14" t="s">
        <v>207</v>
      </c>
      <c r="G13" s="14" t="s">
        <v>66</v>
      </c>
      <c r="H13" s="14" t="s">
        <v>224</v>
      </c>
      <c r="I13" s="14" t="s">
        <v>863</v>
      </c>
      <c r="J13" s="14" t="s">
        <v>36</v>
      </c>
      <c r="K13" s="14" t="s">
        <v>293</v>
      </c>
      <c r="L13" s="14" t="s">
        <v>295</v>
      </c>
      <c r="M13" s="14" t="s">
        <v>325</v>
      </c>
      <c r="N13" s="14"/>
      <c r="O13" s="14" t="s">
        <v>825</v>
      </c>
      <c r="P13" s="14" t="s">
        <v>187</v>
      </c>
      <c r="Q13" s="14" t="s">
        <v>343</v>
      </c>
      <c r="R13" s="14" t="s">
        <v>857</v>
      </c>
      <c r="S13" s="14" t="s">
        <v>353</v>
      </c>
      <c r="T13" s="14" t="s">
        <v>325</v>
      </c>
      <c r="U13" s="14" t="s">
        <v>864</v>
      </c>
      <c r="V13" s="15" t="n">
        <v>11.44</v>
      </c>
    </row>
    <row r="14" customFormat="false" ht="15" hidden="false" customHeight="false" outlineLevel="0" collapsed="false">
      <c r="A14" s="14" t="s">
        <v>854</v>
      </c>
      <c r="B14" s="14" t="s">
        <v>66</v>
      </c>
      <c r="C14" s="14" t="s">
        <v>865</v>
      </c>
      <c r="D14" s="14" t="s">
        <v>34</v>
      </c>
      <c r="E14" s="14" t="s">
        <v>48</v>
      </c>
      <c r="F14" s="14" t="s">
        <v>207</v>
      </c>
      <c r="G14" s="14" t="s">
        <v>66</v>
      </c>
      <c r="H14" s="14" t="s">
        <v>219</v>
      </c>
      <c r="I14" s="14" t="s">
        <v>856</v>
      </c>
      <c r="J14" s="14" t="s">
        <v>61</v>
      </c>
      <c r="K14" s="14" t="s">
        <v>269</v>
      </c>
      <c r="L14" s="14" t="s">
        <v>295</v>
      </c>
      <c r="M14" s="14" t="s">
        <v>325</v>
      </c>
      <c r="N14" s="14"/>
      <c r="O14" s="14" t="s">
        <v>825</v>
      </c>
      <c r="P14" s="14" t="s">
        <v>187</v>
      </c>
      <c r="Q14" s="14" t="s">
        <v>343</v>
      </c>
      <c r="R14" s="14" t="s">
        <v>857</v>
      </c>
      <c r="S14" s="14" t="s">
        <v>353</v>
      </c>
      <c r="T14" s="14" t="s">
        <v>325</v>
      </c>
      <c r="U14" s="14" t="s">
        <v>866</v>
      </c>
      <c r="V14" s="15" t="n">
        <v>32</v>
      </c>
    </row>
    <row r="15" customFormat="false" ht="15" hidden="false" customHeight="false" outlineLevel="0" collapsed="false">
      <c r="A15" s="14" t="s">
        <v>854</v>
      </c>
      <c r="B15" s="14" t="s">
        <v>66</v>
      </c>
      <c r="C15" s="14" t="s">
        <v>855</v>
      </c>
      <c r="D15" s="14" t="s">
        <v>29</v>
      </c>
      <c r="E15" s="14" t="s">
        <v>48</v>
      </c>
      <c r="F15" s="14" t="s">
        <v>213</v>
      </c>
      <c r="G15" s="14" t="s">
        <v>66</v>
      </c>
      <c r="H15" s="14" t="s">
        <v>219</v>
      </c>
      <c r="I15" s="14" t="s">
        <v>867</v>
      </c>
      <c r="J15" s="14" t="s">
        <v>61</v>
      </c>
      <c r="K15" s="14" t="s">
        <v>293</v>
      </c>
      <c r="L15" s="14" t="s">
        <v>295</v>
      </c>
      <c r="M15" s="14" t="s">
        <v>325</v>
      </c>
      <c r="N15" s="14"/>
      <c r="O15" s="14" t="s">
        <v>825</v>
      </c>
      <c r="P15" s="14" t="s">
        <v>187</v>
      </c>
      <c r="Q15" s="14" t="s">
        <v>345</v>
      </c>
      <c r="R15" s="14" t="s">
        <v>868</v>
      </c>
      <c r="S15" s="14" t="s">
        <v>353</v>
      </c>
      <c r="T15" s="14" t="s">
        <v>325</v>
      </c>
      <c r="U15" s="14" t="s">
        <v>869</v>
      </c>
      <c r="V15" s="15" t="n">
        <v>26.4</v>
      </c>
    </row>
    <row r="16" customFormat="false" ht="15" hidden="false" customHeight="false" outlineLevel="0" collapsed="false">
      <c r="A16" s="14" t="s">
        <v>870</v>
      </c>
      <c r="B16" s="14" t="s">
        <v>67</v>
      </c>
      <c r="C16" s="14" t="s">
        <v>871</v>
      </c>
      <c r="D16" s="14" t="s">
        <v>29</v>
      </c>
      <c r="E16" s="14" t="s">
        <v>48</v>
      </c>
      <c r="F16" s="14" t="s">
        <v>207</v>
      </c>
      <c r="G16" s="14" t="s">
        <v>67</v>
      </c>
      <c r="H16" s="14" t="s">
        <v>217</v>
      </c>
      <c r="I16" s="14" t="s">
        <v>823</v>
      </c>
      <c r="J16" s="14" t="s">
        <v>61</v>
      </c>
      <c r="K16" s="14" t="s">
        <v>293</v>
      </c>
      <c r="L16" s="14" t="s">
        <v>295</v>
      </c>
      <c r="M16" s="14" t="s">
        <v>325</v>
      </c>
      <c r="N16" s="14"/>
      <c r="O16" s="14" t="s">
        <v>825</v>
      </c>
      <c r="P16" s="14" t="s">
        <v>187</v>
      </c>
      <c r="Q16" s="14" t="s">
        <v>343</v>
      </c>
      <c r="R16" s="14" t="s">
        <v>872</v>
      </c>
      <c r="S16" s="14" t="s">
        <v>353</v>
      </c>
      <c r="T16" s="14" t="s">
        <v>325</v>
      </c>
      <c r="U16" s="14" t="s">
        <v>873</v>
      </c>
      <c r="V16" s="15" t="n">
        <v>26.5</v>
      </c>
    </row>
    <row r="17" customFormat="false" ht="15" hidden="false" customHeight="false" outlineLevel="0" collapsed="false">
      <c r="A17" s="14" t="s">
        <v>870</v>
      </c>
      <c r="B17" s="14" t="s">
        <v>67</v>
      </c>
      <c r="C17" s="14" t="s">
        <v>871</v>
      </c>
      <c r="D17" s="14" t="s">
        <v>29</v>
      </c>
      <c r="E17" s="14" t="s">
        <v>48</v>
      </c>
      <c r="F17" s="14" t="s">
        <v>207</v>
      </c>
      <c r="G17" s="14" t="s">
        <v>67</v>
      </c>
      <c r="H17" s="14" t="s">
        <v>219</v>
      </c>
      <c r="I17" s="14" t="s">
        <v>828</v>
      </c>
      <c r="J17" s="14" t="s">
        <v>60</v>
      </c>
      <c r="K17" s="14" t="s">
        <v>293</v>
      </c>
      <c r="L17" s="14" t="s">
        <v>297</v>
      </c>
      <c r="M17" s="14" t="s">
        <v>325</v>
      </c>
      <c r="N17" s="14"/>
      <c r="O17" s="14" t="s">
        <v>825</v>
      </c>
      <c r="P17" s="14" t="s">
        <v>187</v>
      </c>
      <c r="Q17" s="14" t="s">
        <v>343</v>
      </c>
      <c r="R17" s="14" t="s">
        <v>874</v>
      </c>
      <c r="S17" s="14" t="s">
        <v>353</v>
      </c>
      <c r="T17" s="14" t="s">
        <v>325</v>
      </c>
      <c r="U17" s="14" t="s">
        <v>875</v>
      </c>
      <c r="V17" s="15" t="n">
        <v>20.25</v>
      </c>
    </row>
    <row r="18" customFormat="false" ht="15" hidden="false" customHeight="false" outlineLevel="0" collapsed="false">
      <c r="A18" s="14" t="s">
        <v>870</v>
      </c>
      <c r="B18" s="14" t="s">
        <v>67</v>
      </c>
      <c r="C18" s="14" t="s">
        <v>871</v>
      </c>
      <c r="D18" s="14" t="s">
        <v>29</v>
      </c>
      <c r="E18" s="14" t="s">
        <v>48</v>
      </c>
      <c r="F18" s="14" t="s">
        <v>207</v>
      </c>
      <c r="G18" s="14" t="s">
        <v>67</v>
      </c>
      <c r="H18" s="14" t="s">
        <v>221</v>
      </c>
      <c r="I18" s="14" t="s">
        <v>876</v>
      </c>
      <c r="J18" s="14" t="s">
        <v>61</v>
      </c>
      <c r="K18" s="14" t="s">
        <v>293</v>
      </c>
      <c r="L18" s="14" t="s">
        <v>295</v>
      </c>
      <c r="M18" s="14" t="s">
        <v>325</v>
      </c>
      <c r="N18" s="14"/>
      <c r="O18" s="14" t="s">
        <v>825</v>
      </c>
      <c r="P18" s="14" t="s">
        <v>187</v>
      </c>
      <c r="Q18" s="14" t="s">
        <v>343</v>
      </c>
      <c r="R18" s="14" t="s">
        <v>872</v>
      </c>
      <c r="S18" s="14" t="s">
        <v>353</v>
      </c>
      <c r="T18" s="14" t="s">
        <v>325</v>
      </c>
      <c r="U18" s="14" t="s">
        <v>877</v>
      </c>
      <c r="V18" s="15" t="n">
        <v>4.78</v>
      </c>
    </row>
    <row r="19" customFormat="false" ht="15" hidden="false" customHeight="false" outlineLevel="0" collapsed="false">
      <c r="A19" s="14" t="s">
        <v>870</v>
      </c>
      <c r="B19" s="14" t="s">
        <v>67</v>
      </c>
      <c r="C19" s="14" t="s">
        <v>878</v>
      </c>
      <c r="D19" s="14" t="s">
        <v>35</v>
      </c>
      <c r="E19" s="14" t="s">
        <v>48</v>
      </c>
      <c r="F19" s="14" t="s">
        <v>207</v>
      </c>
      <c r="G19" s="14" t="s">
        <v>67</v>
      </c>
      <c r="H19" s="14"/>
      <c r="I19" s="14"/>
      <c r="J19" s="14" t="s">
        <v>61</v>
      </c>
      <c r="K19" s="14" t="s">
        <v>273</v>
      </c>
      <c r="L19" s="14" t="s">
        <v>295</v>
      </c>
      <c r="M19" s="14" t="s">
        <v>325</v>
      </c>
      <c r="N19" s="14"/>
      <c r="O19" s="14" t="s">
        <v>825</v>
      </c>
      <c r="P19" s="14" t="s">
        <v>187</v>
      </c>
      <c r="Q19" s="14" t="s">
        <v>343</v>
      </c>
      <c r="R19" s="14" t="s">
        <v>872</v>
      </c>
      <c r="S19" s="14" t="s">
        <v>353</v>
      </c>
      <c r="T19" s="14" t="s">
        <v>325</v>
      </c>
      <c r="U19" s="14" t="s">
        <v>879</v>
      </c>
      <c r="V19" s="15" t="n">
        <v>24.8</v>
      </c>
    </row>
    <row r="20" customFormat="false" ht="15" hidden="false" customHeight="false" outlineLevel="0" collapsed="false">
      <c r="A20" s="14" t="s">
        <v>880</v>
      </c>
      <c r="B20" s="14" t="s">
        <v>68</v>
      </c>
      <c r="C20" s="14" t="s">
        <v>881</v>
      </c>
      <c r="D20" s="14" t="s">
        <v>31</v>
      </c>
      <c r="E20" s="14" t="s">
        <v>51</v>
      </c>
      <c r="F20" s="14" t="s">
        <v>211</v>
      </c>
      <c r="G20" s="14"/>
      <c r="H20" s="14"/>
      <c r="I20" s="14"/>
      <c r="J20" s="14" t="s">
        <v>61</v>
      </c>
      <c r="K20" s="14" t="s">
        <v>275</v>
      </c>
      <c r="L20" s="14" t="s">
        <v>295</v>
      </c>
      <c r="M20" s="14" t="s">
        <v>325</v>
      </c>
      <c r="N20" s="14"/>
      <c r="O20" s="14" t="s">
        <v>825</v>
      </c>
      <c r="P20" s="14" t="s">
        <v>187</v>
      </c>
      <c r="Q20" s="14" t="s">
        <v>345</v>
      </c>
      <c r="R20" s="14" t="s">
        <v>836</v>
      </c>
      <c r="S20" s="14" t="s">
        <v>353</v>
      </c>
      <c r="T20" s="14" t="s">
        <v>325</v>
      </c>
      <c r="U20" s="14" t="s">
        <v>882</v>
      </c>
      <c r="V20" s="15" t="n">
        <v>17136</v>
      </c>
    </row>
    <row r="21" customFormat="false" ht="15" hidden="false" customHeight="false" outlineLevel="0" collapsed="false">
      <c r="A21" s="14" t="s">
        <v>880</v>
      </c>
      <c r="B21" s="14" t="s">
        <v>68</v>
      </c>
      <c r="C21" s="14" t="s">
        <v>881</v>
      </c>
      <c r="D21" s="14" t="s">
        <v>31</v>
      </c>
      <c r="E21" s="14" t="s">
        <v>51</v>
      </c>
      <c r="F21" s="14" t="s">
        <v>211</v>
      </c>
      <c r="G21" s="14"/>
      <c r="H21" s="14"/>
      <c r="I21" s="14"/>
      <c r="J21" s="14" t="s">
        <v>30</v>
      </c>
      <c r="K21" s="14" t="s">
        <v>275</v>
      </c>
      <c r="L21" s="14" t="s">
        <v>307</v>
      </c>
      <c r="M21" s="14" t="s">
        <v>315</v>
      </c>
      <c r="N21" s="14" t="s">
        <v>830</v>
      </c>
      <c r="O21" s="14" t="s">
        <v>831</v>
      </c>
      <c r="P21" s="14" t="s">
        <v>187</v>
      </c>
      <c r="Q21" s="14" t="s">
        <v>345</v>
      </c>
      <c r="R21" s="14" t="s">
        <v>836</v>
      </c>
      <c r="S21" s="14" t="s">
        <v>353</v>
      </c>
      <c r="T21" s="14" t="s">
        <v>325</v>
      </c>
      <c r="U21" s="14" t="s">
        <v>833</v>
      </c>
      <c r="V21" s="15" t="n">
        <v>24192</v>
      </c>
    </row>
    <row r="22" customFormat="false" ht="15" hidden="false" customHeight="false" outlineLevel="0" collapsed="false">
      <c r="A22" s="14" t="s">
        <v>880</v>
      </c>
      <c r="B22" s="14" t="s">
        <v>68</v>
      </c>
      <c r="C22" s="14" t="s">
        <v>883</v>
      </c>
      <c r="D22" s="14" t="s">
        <v>32</v>
      </c>
      <c r="E22" s="14" t="s">
        <v>51</v>
      </c>
      <c r="F22" s="14" t="s">
        <v>383</v>
      </c>
      <c r="G22" s="14"/>
      <c r="H22" s="14"/>
      <c r="I22" s="14"/>
      <c r="J22" s="14" t="s">
        <v>62</v>
      </c>
      <c r="K22" s="14" t="s">
        <v>283</v>
      </c>
      <c r="L22" s="14" t="s">
        <v>295</v>
      </c>
      <c r="M22" s="14" t="s">
        <v>325</v>
      </c>
      <c r="N22" s="14"/>
      <c r="O22" s="14" t="s">
        <v>825</v>
      </c>
      <c r="P22" s="14" t="s">
        <v>187</v>
      </c>
      <c r="Q22" s="14" t="s">
        <v>343</v>
      </c>
      <c r="R22" s="14" t="s">
        <v>836</v>
      </c>
      <c r="S22" s="14" t="s">
        <v>353</v>
      </c>
      <c r="T22" s="14" t="s">
        <v>325</v>
      </c>
      <c r="U22" s="14"/>
      <c r="V22" s="15" t="n">
        <v>210</v>
      </c>
    </row>
    <row r="23" customFormat="false" ht="15" hidden="false" customHeight="false" outlineLevel="0" collapsed="false">
      <c r="A23" s="14" t="s">
        <v>880</v>
      </c>
      <c r="B23" s="14" t="s">
        <v>68</v>
      </c>
      <c r="C23" s="14" t="s">
        <v>884</v>
      </c>
      <c r="D23" s="14" t="s">
        <v>33</v>
      </c>
      <c r="E23" s="14" t="s">
        <v>51</v>
      </c>
      <c r="F23" s="14" t="s">
        <v>383</v>
      </c>
      <c r="G23" s="14"/>
      <c r="H23" s="14"/>
      <c r="I23" s="14"/>
      <c r="J23" s="14" t="s">
        <v>62</v>
      </c>
      <c r="K23" s="14" t="s">
        <v>285</v>
      </c>
      <c r="L23" s="14" t="s">
        <v>295</v>
      </c>
      <c r="M23" s="14" t="s">
        <v>325</v>
      </c>
      <c r="N23" s="14"/>
      <c r="O23" s="14" t="s">
        <v>825</v>
      </c>
      <c r="P23" s="14" t="s">
        <v>187</v>
      </c>
      <c r="Q23" s="14" t="s">
        <v>343</v>
      </c>
      <c r="R23" s="14" t="s">
        <v>836</v>
      </c>
      <c r="S23" s="14" t="s">
        <v>353</v>
      </c>
      <c r="T23" s="14" t="s">
        <v>325</v>
      </c>
      <c r="U23" s="14"/>
      <c r="V23" s="15" t="n">
        <v>0</v>
      </c>
    </row>
    <row r="24" customFormat="false" ht="15" hidden="false" customHeight="false" outlineLevel="0" collapsed="false">
      <c r="A24" s="14" t="s">
        <v>885</v>
      </c>
      <c r="B24" s="14" t="s">
        <v>69</v>
      </c>
      <c r="C24" s="14" t="s">
        <v>886</v>
      </c>
      <c r="D24" s="14" t="s">
        <v>34</v>
      </c>
      <c r="E24" s="14" t="s">
        <v>55</v>
      </c>
      <c r="F24" s="14" t="s">
        <v>383</v>
      </c>
      <c r="G24" s="14"/>
      <c r="H24" s="14"/>
      <c r="I24" s="14"/>
      <c r="J24" s="14" t="s">
        <v>61</v>
      </c>
      <c r="K24" s="14" t="s">
        <v>887</v>
      </c>
      <c r="L24" s="14" t="s">
        <v>295</v>
      </c>
      <c r="M24" s="14" t="s">
        <v>325</v>
      </c>
      <c r="N24" s="14"/>
      <c r="O24" s="14" t="s">
        <v>825</v>
      </c>
      <c r="P24" s="14" t="s">
        <v>187</v>
      </c>
      <c r="Q24" s="14" t="s">
        <v>343</v>
      </c>
      <c r="R24" s="14" t="s">
        <v>888</v>
      </c>
      <c r="S24" s="14" t="s">
        <v>353</v>
      </c>
      <c r="T24" s="14" t="s">
        <v>325</v>
      </c>
      <c r="U24" s="14" t="s">
        <v>889</v>
      </c>
      <c r="V24" s="15" t="n">
        <v>230</v>
      </c>
    </row>
    <row r="25" customFormat="false" ht="15" hidden="false" customHeight="false" outlineLevel="0" collapsed="false">
      <c r="A25" s="14" t="s">
        <v>885</v>
      </c>
      <c r="B25" s="14" t="s">
        <v>69</v>
      </c>
      <c r="C25" s="14" t="s">
        <v>890</v>
      </c>
      <c r="D25" s="14" t="s">
        <v>34</v>
      </c>
      <c r="E25" s="14" t="s">
        <v>55</v>
      </c>
      <c r="F25" s="14" t="s">
        <v>383</v>
      </c>
      <c r="G25" s="14"/>
      <c r="H25" s="14"/>
      <c r="I25" s="14"/>
      <c r="J25" s="14" t="s">
        <v>36</v>
      </c>
      <c r="K25" s="14" t="s">
        <v>891</v>
      </c>
      <c r="L25" s="14" t="s">
        <v>295</v>
      </c>
      <c r="M25" s="14" t="s">
        <v>325</v>
      </c>
      <c r="N25" s="14"/>
      <c r="O25" s="14" t="s">
        <v>825</v>
      </c>
      <c r="P25" s="14" t="s">
        <v>187</v>
      </c>
      <c r="Q25" s="14" t="s">
        <v>343</v>
      </c>
      <c r="R25" s="14" t="s">
        <v>888</v>
      </c>
      <c r="S25" s="14" t="s">
        <v>353</v>
      </c>
      <c r="T25" s="14" t="s">
        <v>325</v>
      </c>
      <c r="U25" s="14" t="s">
        <v>892</v>
      </c>
      <c r="V25" s="15" t="n">
        <v>56</v>
      </c>
    </row>
    <row r="26" customFormat="false" ht="15" hidden="false" customHeight="false" outlineLevel="0" collapsed="false">
      <c r="A26" s="14" t="s">
        <v>885</v>
      </c>
      <c r="B26" s="14" t="s">
        <v>69</v>
      </c>
      <c r="C26" s="14" t="s">
        <v>893</v>
      </c>
      <c r="D26" s="14" t="s">
        <v>32</v>
      </c>
      <c r="E26" s="14" t="s">
        <v>55</v>
      </c>
      <c r="F26" s="14" t="s">
        <v>383</v>
      </c>
      <c r="G26" s="14"/>
      <c r="H26" s="14"/>
      <c r="I26" s="14"/>
      <c r="J26" s="14" t="s">
        <v>62</v>
      </c>
      <c r="K26" s="14" t="s">
        <v>283</v>
      </c>
      <c r="L26" s="14" t="s">
        <v>295</v>
      </c>
      <c r="M26" s="14" t="s">
        <v>325</v>
      </c>
      <c r="N26" s="14"/>
      <c r="O26" s="14" t="s">
        <v>825</v>
      </c>
      <c r="P26" s="14" t="s">
        <v>187</v>
      </c>
      <c r="Q26" s="14" t="s">
        <v>343</v>
      </c>
      <c r="R26" s="14" t="s">
        <v>888</v>
      </c>
      <c r="S26" s="14" t="s">
        <v>353</v>
      </c>
      <c r="T26" s="14" t="s">
        <v>325</v>
      </c>
      <c r="U26" s="14" t="s">
        <v>894</v>
      </c>
      <c r="V26" s="15" t="n">
        <v>54.45</v>
      </c>
    </row>
    <row r="27" customFormat="false" ht="15" hidden="false" customHeight="false" outlineLevel="0" collapsed="false">
      <c r="A27" s="14" t="s">
        <v>885</v>
      </c>
      <c r="B27" s="14" t="s">
        <v>69</v>
      </c>
      <c r="C27" s="14" t="s">
        <v>895</v>
      </c>
      <c r="D27" s="14" t="s">
        <v>34</v>
      </c>
      <c r="E27" s="14" t="s">
        <v>55</v>
      </c>
      <c r="F27" s="14" t="s">
        <v>383</v>
      </c>
      <c r="G27" s="14"/>
      <c r="H27" s="14"/>
      <c r="I27" s="14"/>
      <c r="J27" s="14" t="s">
        <v>61</v>
      </c>
      <c r="K27" s="14" t="s">
        <v>269</v>
      </c>
      <c r="L27" s="14" t="s">
        <v>295</v>
      </c>
      <c r="M27" s="14" t="s">
        <v>325</v>
      </c>
      <c r="N27" s="14"/>
      <c r="O27" s="14" t="s">
        <v>825</v>
      </c>
      <c r="P27" s="14" t="s">
        <v>187</v>
      </c>
      <c r="Q27" s="14" t="s">
        <v>343</v>
      </c>
      <c r="R27" s="14" t="s">
        <v>888</v>
      </c>
      <c r="S27" s="14" t="s">
        <v>353</v>
      </c>
      <c r="T27" s="14" t="s">
        <v>325</v>
      </c>
      <c r="U27" s="14" t="s">
        <v>896</v>
      </c>
      <c r="V27" s="15" t="n">
        <v>88</v>
      </c>
    </row>
    <row r="28" customFormat="false" ht="15" hidden="false" customHeight="false" outlineLevel="0" collapsed="false">
      <c r="A28" s="14" t="s">
        <v>885</v>
      </c>
      <c r="B28" s="14" t="s">
        <v>69</v>
      </c>
      <c r="C28" s="14" t="s">
        <v>897</v>
      </c>
      <c r="D28" s="14" t="s">
        <v>34</v>
      </c>
      <c r="E28" s="14" t="s">
        <v>55</v>
      </c>
      <c r="F28" s="14" t="s">
        <v>383</v>
      </c>
      <c r="G28" s="14"/>
      <c r="H28" s="14"/>
      <c r="I28" s="14"/>
      <c r="J28" s="14" t="s">
        <v>62</v>
      </c>
      <c r="K28" s="14" t="s">
        <v>291</v>
      </c>
      <c r="L28" s="14" t="s">
        <v>309</v>
      </c>
      <c r="M28" s="14" t="s">
        <v>325</v>
      </c>
      <c r="N28" s="14"/>
      <c r="O28" s="14" t="s">
        <v>825</v>
      </c>
      <c r="P28" s="14" t="s">
        <v>187</v>
      </c>
      <c r="Q28" s="14" t="s">
        <v>345</v>
      </c>
      <c r="R28" s="14" t="s">
        <v>898</v>
      </c>
      <c r="S28" s="14" t="s">
        <v>353</v>
      </c>
      <c r="T28" s="14" t="s">
        <v>325</v>
      </c>
      <c r="U28" s="14" t="s">
        <v>896</v>
      </c>
      <c r="V28" s="15" t="n">
        <v>31</v>
      </c>
    </row>
    <row r="29" customFormat="false" ht="15" hidden="false" customHeight="false" outlineLevel="0" collapsed="false">
      <c r="A29" s="14" t="s">
        <v>899</v>
      </c>
      <c r="B29" s="14" t="s">
        <v>70</v>
      </c>
      <c r="C29" s="14" t="s">
        <v>900</v>
      </c>
      <c r="D29" s="14" t="s">
        <v>40</v>
      </c>
      <c r="E29" s="14" t="s">
        <v>55</v>
      </c>
      <c r="F29" s="14" t="s">
        <v>383</v>
      </c>
      <c r="G29" s="14"/>
      <c r="H29" s="14"/>
      <c r="I29" s="14"/>
      <c r="J29" s="14" t="s">
        <v>61</v>
      </c>
      <c r="K29" s="14" t="s">
        <v>281</v>
      </c>
      <c r="L29" s="14" t="s">
        <v>309</v>
      </c>
      <c r="M29" s="14" t="s">
        <v>325</v>
      </c>
      <c r="N29" s="14"/>
      <c r="O29" s="14" t="s">
        <v>825</v>
      </c>
      <c r="P29" s="14" t="s">
        <v>189</v>
      </c>
      <c r="Q29" s="14" t="s">
        <v>343</v>
      </c>
      <c r="R29" s="14" t="s">
        <v>852</v>
      </c>
      <c r="S29" s="14" t="s">
        <v>353</v>
      </c>
      <c r="T29" s="14" t="s">
        <v>325</v>
      </c>
      <c r="U29" s="14" t="s">
        <v>901</v>
      </c>
      <c r="V29" s="15" t="n">
        <v>1140</v>
      </c>
    </row>
    <row r="30" customFormat="false" ht="15" hidden="false" customHeight="false" outlineLevel="0" collapsed="false">
      <c r="A30" s="14" t="s">
        <v>899</v>
      </c>
      <c r="B30" s="14" t="s">
        <v>71</v>
      </c>
      <c r="C30" s="14" t="s">
        <v>902</v>
      </c>
      <c r="D30" s="14" t="s">
        <v>40</v>
      </c>
      <c r="E30" s="14" t="s">
        <v>55</v>
      </c>
      <c r="F30" s="14" t="s">
        <v>383</v>
      </c>
      <c r="G30" s="14"/>
      <c r="H30" s="14"/>
      <c r="I30" s="14"/>
      <c r="J30" s="14" t="s">
        <v>61</v>
      </c>
      <c r="K30" s="14" t="s">
        <v>281</v>
      </c>
      <c r="L30" s="14" t="s">
        <v>309</v>
      </c>
      <c r="M30" s="14" t="s">
        <v>325</v>
      </c>
      <c r="N30" s="14"/>
      <c r="O30" s="14" t="s">
        <v>825</v>
      </c>
      <c r="P30" s="14" t="s">
        <v>189</v>
      </c>
      <c r="Q30" s="14" t="s">
        <v>343</v>
      </c>
      <c r="R30" s="14" t="s">
        <v>903</v>
      </c>
      <c r="S30" s="14" t="s">
        <v>355</v>
      </c>
      <c r="T30" s="14" t="s">
        <v>325</v>
      </c>
      <c r="U30" s="14" t="s">
        <v>904</v>
      </c>
      <c r="V30" s="15" t="n">
        <v>160</v>
      </c>
    </row>
  </sheetData>
  <autoFilter ref="A1:V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2026-06-25T04:41:46Z</dcterms:created>
  <dc:creator>openpyxl</dc:creator>
  <dc:description/>
  <dc:language>en-US</dc:language>
  <cp:lastModifiedBy/>
  <dcterms:modified xsi:type="dcterms:W3CDTF">2026-06-25T06:40:43Z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